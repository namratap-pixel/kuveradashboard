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.shortcut-targets-by-id\0B2ffBJbVamXsM0ZtbW5fUi1kV1k\Operations\Namrata\"/>
    </mc:Choice>
  </mc:AlternateContent>
  <xr:revisionPtr revIDLastSave="0" documentId="13_ncr:1_{D28AF84A-CFA1-42C7-B115-7ADCA0F083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Holiday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E18" i="2"/>
  <c r="E17" i="2"/>
  <c r="E15" i="2"/>
  <c r="E14" i="2"/>
  <c r="E13" i="2"/>
  <c r="E12" i="2"/>
  <c r="E10" i="2"/>
  <c r="E9" i="2"/>
  <c r="E8" i="2"/>
  <c r="E7" i="2"/>
  <c r="E6" i="2"/>
  <c r="E5" i="2"/>
  <c r="E4" i="2"/>
  <c r="E3" i="2"/>
  <c r="L36" i="1"/>
  <c r="K36" i="1"/>
  <c r="J36" i="1"/>
  <c r="I36" i="1"/>
  <c r="G36" i="1"/>
  <c r="E36" i="1"/>
  <c r="F36" i="1" s="1"/>
  <c r="D36" i="1"/>
  <c r="C36" i="1"/>
  <c r="B36" i="1"/>
  <c r="L35" i="1"/>
  <c r="K35" i="1"/>
  <c r="J35" i="1"/>
  <c r="G35" i="1"/>
  <c r="E35" i="1"/>
  <c r="F35" i="1" s="1"/>
  <c r="D35" i="1"/>
  <c r="C35" i="1"/>
  <c r="B35" i="1"/>
  <c r="I35" i="1" s="1"/>
  <c r="L34" i="1"/>
  <c r="K34" i="1"/>
  <c r="J34" i="1"/>
  <c r="G34" i="1"/>
  <c r="E34" i="1"/>
  <c r="F34" i="1" s="1"/>
  <c r="D34" i="1"/>
  <c r="C34" i="1"/>
  <c r="B34" i="1"/>
  <c r="I34" i="1" s="1"/>
  <c r="L33" i="1"/>
  <c r="K33" i="1"/>
  <c r="J33" i="1"/>
  <c r="G33" i="1"/>
  <c r="E33" i="1"/>
  <c r="D33" i="1"/>
  <c r="C33" i="1"/>
  <c r="B33" i="1"/>
  <c r="I33" i="1" s="1"/>
  <c r="L32" i="1"/>
  <c r="K32" i="1"/>
  <c r="J32" i="1"/>
  <c r="G32" i="1"/>
  <c r="E32" i="1"/>
  <c r="F32" i="1" s="1"/>
  <c r="D32" i="1"/>
  <c r="C32" i="1"/>
  <c r="B32" i="1"/>
  <c r="I32" i="1" s="1"/>
  <c r="L31" i="1"/>
  <c r="K31" i="1"/>
  <c r="J31" i="1"/>
  <c r="G31" i="1"/>
  <c r="E31" i="1"/>
  <c r="F31" i="1" s="1"/>
  <c r="D31" i="1"/>
  <c r="C31" i="1"/>
  <c r="B31" i="1"/>
  <c r="L30" i="1"/>
  <c r="K30" i="1"/>
  <c r="J30" i="1"/>
  <c r="G30" i="1"/>
  <c r="E30" i="1"/>
  <c r="F30" i="1" s="1"/>
  <c r="D30" i="1"/>
  <c r="C30" i="1"/>
  <c r="B30" i="1"/>
  <c r="I30" i="1" s="1"/>
  <c r="L29" i="1"/>
  <c r="K29" i="1"/>
  <c r="J29" i="1"/>
  <c r="G29" i="1"/>
  <c r="E29" i="1"/>
  <c r="F29" i="1" s="1"/>
  <c r="D29" i="1"/>
  <c r="C29" i="1"/>
  <c r="B29" i="1"/>
  <c r="I29" i="1" s="1"/>
  <c r="L28" i="1"/>
  <c r="K28" i="1"/>
  <c r="J28" i="1"/>
  <c r="G28" i="1"/>
  <c r="E28" i="1"/>
  <c r="F28" i="1" s="1"/>
  <c r="D28" i="1"/>
  <c r="C28" i="1"/>
  <c r="B28" i="1"/>
  <c r="L27" i="1"/>
  <c r="K27" i="1"/>
  <c r="J27" i="1"/>
  <c r="G27" i="1"/>
  <c r="E27" i="1"/>
  <c r="F27" i="1" s="1"/>
  <c r="D27" i="1"/>
  <c r="C27" i="1"/>
  <c r="B27" i="1"/>
  <c r="L26" i="1"/>
  <c r="K26" i="1"/>
  <c r="J26" i="1"/>
  <c r="G26" i="1"/>
  <c r="E26" i="1"/>
  <c r="F26" i="1" s="1"/>
  <c r="D26" i="1"/>
  <c r="C26" i="1"/>
  <c r="B26" i="1"/>
  <c r="I26" i="1" s="1"/>
  <c r="L25" i="1"/>
  <c r="K25" i="1"/>
  <c r="J25" i="1"/>
  <c r="G25" i="1"/>
  <c r="E25" i="1"/>
  <c r="F25" i="1" s="1"/>
  <c r="D25" i="1"/>
  <c r="C25" i="1"/>
  <c r="B25" i="1"/>
  <c r="I25" i="1" s="1"/>
  <c r="L24" i="1"/>
  <c r="K24" i="1"/>
  <c r="J24" i="1"/>
  <c r="G24" i="1"/>
  <c r="E24" i="1"/>
  <c r="F24" i="1" s="1"/>
  <c r="D24" i="1"/>
  <c r="C24" i="1"/>
  <c r="B24" i="1"/>
  <c r="I24" i="1" s="1"/>
  <c r="L23" i="1"/>
  <c r="K23" i="1"/>
  <c r="J23" i="1"/>
  <c r="G23" i="1"/>
  <c r="E23" i="1"/>
  <c r="F23" i="1" s="1"/>
  <c r="D23" i="1"/>
  <c r="C23" i="1"/>
  <c r="B23" i="1"/>
  <c r="L22" i="1"/>
  <c r="K22" i="1"/>
  <c r="J22" i="1"/>
  <c r="G22" i="1"/>
  <c r="E22" i="1"/>
  <c r="D22" i="1"/>
  <c r="C22" i="1"/>
  <c r="B22" i="1"/>
  <c r="I22" i="1" s="1"/>
  <c r="L21" i="1"/>
  <c r="K21" i="1"/>
  <c r="J21" i="1"/>
  <c r="G21" i="1"/>
  <c r="E21" i="1"/>
  <c r="D21" i="1"/>
  <c r="C21" i="1"/>
  <c r="B21" i="1"/>
  <c r="I21" i="1" s="1"/>
  <c r="L20" i="1"/>
  <c r="K20" i="1"/>
  <c r="J20" i="1"/>
  <c r="G20" i="1"/>
  <c r="E20" i="1"/>
  <c r="F20" i="1" s="1"/>
  <c r="D20" i="1"/>
  <c r="C20" i="1"/>
  <c r="B20" i="1"/>
  <c r="I20" i="1" s="1"/>
  <c r="L19" i="1"/>
  <c r="K19" i="1"/>
  <c r="J19" i="1"/>
  <c r="G19" i="1"/>
  <c r="E19" i="1"/>
  <c r="F19" i="1" s="1"/>
  <c r="D19" i="1"/>
  <c r="C19" i="1"/>
  <c r="B19" i="1"/>
  <c r="I19" i="1" s="1"/>
  <c r="L18" i="1"/>
  <c r="K18" i="1"/>
  <c r="J18" i="1"/>
  <c r="G18" i="1"/>
  <c r="E18" i="1"/>
  <c r="F18" i="1" s="1"/>
  <c r="D18" i="1"/>
  <c r="C18" i="1"/>
  <c r="B18" i="1"/>
  <c r="L17" i="1"/>
  <c r="K17" i="1"/>
  <c r="J17" i="1"/>
  <c r="G17" i="1"/>
  <c r="E17" i="1"/>
  <c r="F17" i="1" s="1"/>
  <c r="D17" i="1"/>
  <c r="C17" i="1"/>
  <c r="B17" i="1"/>
  <c r="L16" i="1"/>
  <c r="K16" i="1"/>
  <c r="J16" i="1"/>
  <c r="G16" i="1"/>
  <c r="E16" i="1"/>
  <c r="F16" i="1" s="1"/>
  <c r="D16" i="1"/>
  <c r="C16" i="1"/>
  <c r="B16" i="1"/>
  <c r="L15" i="1"/>
  <c r="K15" i="1"/>
  <c r="J15" i="1"/>
  <c r="G15" i="1"/>
  <c r="E15" i="1"/>
  <c r="F15" i="1" s="1"/>
  <c r="D15" i="1"/>
  <c r="C15" i="1"/>
  <c r="B15" i="1"/>
  <c r="I15" i="1" s="1"/>
  <c r="L14" i="1"/>
  <c r="K14" i="1"/>
  <c r="J14" i="1"/>
  <c r="G14" i="1"/>
  <c r="E14" i="1"/>
  <c r="D14" i="1"/>
  <c r="C14" i="1"/>
  <c r="B14" i="1"/>
  <c r="I14" i="1" s="1"/>
  <c r="L13" i="1"/>
  <c r="K13" i="1"/>
  <c r="J13" i="1"/>
  <c r="G13" i="1"/>
  <c r="E13" i="1"/>
  <c r="F13" i="1" s="1"/>
  <c r="D13" i="1"/>
  <c r="C13" i="1"/>
  <c r="B13" i="1"/>
  <c r="I13" i="1" s="1"/>
  <c r="L12" i="1"/>
  <c r="K12" i="1"/>
  <c r="J12" i="1"/>
  <c r="G12" i="1"/>
  <c r="E12" i="1"/>
  <c r="D12" i="1"/>
  <c r="C12" i="1"/>
  <c r="B12" i="1"/>
  <c r="I12" i="1" s="1"/>
  <c r="L11" i="1"/>
  <c r="K11" i="1"/>
  <c r="J11" i="1"/>
  <c r="G11" i="1"/>
  <c r="E11" i="1"/>
  <c r="D11" i="1"/>
  <c r="C11" i="1"/>
  <c r="B11" i="1"/>
  <c r="I11" i="1" s="1"/>
  <c r="L10" i="1"/>
  <c r="K10" i="1"/>
  <c r="J10" i="1"/>
  <c r="G10" i="1"/>
  <c r="E10" i="1"/>
  <c r="D10" i="1"/>
  <c r="C10" i="1"/>
  <c r="B10" i="1"/>
  <c r="I10" i="1" s="1"/>
  <c r="L9" i="1"/>
  <c r="K9" i="1"/>
  <c r="J9" i="1"/>
  <c r="G9" i="1"/>
  <c r="E9" i="1"/>
  <c r="F9" i="1" s="1"/>
  <c r="D9" i="1"/>
  <c r="C9" i="1"/>
  <c r="B9" i="1"/>
  <c r="L8" i="1"/>
  <c r="K8" i="1"/>
  <c r="J8" i="1"/>
  <c r="G8" i="1"/>
  <c r="E8" i="1"/>
  <c r="F8" i="1" s="1"/>
  <c r="D8" i="1"/>
  <c r="C8" i="1"/>
  <c r="B8" i="1"/>
  <c r="I8" i="1" s="1"/>
  <c r="L7" i="1"/>
  <c r="K7" i="1"/>
  <c r="J7" i="1"/>
  <c r="G7" i="1"/>
  <c r="E7" i="1"/>
  <c r="F7" i="1" s="1"/>
  <c r="D7" i="1"/>
  <c r="C7" i="1"/>
  <c r="B7" i="1"/>
  <c r="I7" i="1" s="1"/>
  <c r="L6" i="1"/>
  <c r="K6" i="1"/>
  <c r="J6" i="1"/>
  <c r="G6" i="1"/>
  <c r="E6" i="1"/>
  <c r="F6" i="1" s="1"/>
  <c r="D6" i="1"/>
  <c r="C6" i="1"/>
  <c r="B6" i="1"/>
  <c r="I6" i="1" s="1"/>
  <c r="L5" i="1"/>
  <c r="K5" i="1"/>
  <c r="J5" i="1"/>
  <c r="G5" i="1"/>
  <c r="E5" i="1"/>
  <c r="D5" i="1"/>
  <c r="C5" i="1"/>
  <c r="B5" i="1"/>
  <c r="I5" i="1" s="1"/>
  <c r="L4" i="1"/>
  <c r="K4" i="1"/>
  <c r="J4" i="1"/>
  <c r="G4" i="1"/>
  <c r="E4" i="1"/>
  <c r="D4" i="1"/>
  <c r="C4" i="1"/>
  <c r="B4" i="1"/>
  <c r="I4" i="1" s="1"/>
  <c r="L3" i="1"/>
  <c r="K3" i="1"/>
  <c r="J3" i="1"/>
  <c r="G3" i="1"/>
  <c r="E3" i="1"/>
  <c r="F3" i="1" s="1"/>
  <c r="D3" i="1"/>
  <c r="C3" i="1"/>
  <c r="B3" i="1"/>
  <c r="I3" i="1" s="1"/>
  <c r="I31" i="1" l="1"/>
  <c r="F11" i="1"/>
  <c r="F22" i="1"/>
  <c r="I28" i="1"/>
  <c r="F4" i="1"/>
  <c r="F10" i="1"/>
  <c r="I16" i="1"/>
  <c r="I9" i="1"/>
  <c r="F14" i="1"/>
  <c r="I18" i="1"/>
  <c r="F12" i="1"/>
  <c r="I17" i="1"/>
  <c r="I27" i="1"/>
  <c r="F5" i="1"/>
  <c r="F21" i="1"/>
  <c r="I23" i="1"/>
  <c r="F33" i="1"/>
</calcChain>
</file>

<file path=xl/sharedStrings.xml><?xml version="1.0" encoding="utf-8"?>
<sst xmlns="http://schemas.openxmlformats.org/spreadsheetml/2006/main" count="94" uniqueCount="68">
  <si>
    <t>Name</t>
  </si>
  <si>
    <t>Approved Leaves</t>
  </si>
  <si>
    <t>Unscheduled Leaves</t>
  </si>
  <si>
    <t>Loss of Pay LOP</t>
  </si>
  <si>
    <t>Worked on MH</t>
  </si>
  <si>
    <t>Available OH</t>
  </si>
  <si>
    <t>Availed OH</t>
  </si>
  <si>
    <t>Months in the System</t>
  </si>
  <si>
    <t>Pending Leaves</t>
  </si>
  <si>
    <t>Late Login</t>
  </si>
  <si>
    <t>Late Login %</t>
  </si>
  <si>
    <t>WFH</t>
  </si>
  <si>
    <t>Neelabh Sanyal</t>
  </si>
  <si>
    <t>Yogesh Parulekar</t>
  </si>
  <si>
    <t>Vishal Parab</t>
  </si>
  <si>
    <t>Yash Bhatia</t>
  </si>
  <si>
    <t>Yogini Parmar</t>
  </si>
  <si>
    <t>Rutuja Lad</t>
  </si>
  <si>
    <t>Vinamra More</t>
  </si>
  <si>
    <t>Shivam Nag</t>
  </si>
  <si>
    <t>Ashish Baral</t>
  </si>
  <si>
    <t>Aparna More</t>
  </si>
  <si>
    <t>Mayuri Patkar</t>
  </si>
  <si>
    <t>Pradeep Naidu</t>
  </si>
  <si>
    <t>Divija Sane</t>
  </si>
  <si>
    <t>Vaishnavi Dongare</t>
  </si>
  <si>
    <t>Ayush Sakpal</t>
  </si>
  <si>
    <t>Aniket Gaste</t>
  </si>
  <si>
    <t>MD Shahnawaz</t>
  </si>
  <si>
    <t>Vishal Gohel</t>
  </si>
  <si>
    <t>Aditya Sharma</t>
  </si>
  <si>
    <t>Abhishek Bhadra</t>
  </si>
  <si>
    <t>Chaitali Thanekar</t>
  </si>
  <si>
    <t>Arnab Datta</t>
  </si>
  <si>
    <t>Akshay Tambe</t>
  </si>
  <si>
    <t>Sneha Agarwal</t>
  </si>
  <si>
    <t>Ganesh Devkamble</t>
  </si>
  <si>
    <t>Shamith Sanil</t>
  </si>
  <si>
    <t>Yash Pitale</t>
  </si>
  <si>
    <t>Jairaj Bhosale</t>
  </si>
  <si>
    <t>Priyanka Mane</t>
  </si>
  <si>
    <t>Mohammed Waquar Vasta</t>
  </si>
  <si>
    <t>Roshan Lokhande</t>
  </si>
  <si>
    <t>Namrata Pandhi</t>
  </si>
  <si>
    <t>Basudam Dhara</t>
  </si>
  <si>
    <t>Vipul Srivastava</t>
  </si>
  <si>
    <t>Holidays</t>
  </si>
  <si>
    <t>New Year's Day</t>
  </si>
  <si>
    <t>OH</t>
  </si>
  <si>
    <t>Republic Day</t>
  </si>
  <si>
    <t>MH</t>
  </si>
  <si>
    <t>Holi</t>
  </si>
  <si>
    <t>Gudhi Padwa / Ugadi</t>
  </si>
  <si>
    <t>Shri Ram Navami</t>
  </si>
  <si>
    <t>Good Friday</t>
  </si>
  <si>
    <t>Dr. Baba Saheb Ambedkar Jayanti</t>
  </si>
  <si>
    <t>Maharashtra Day</t>
  </si>
  <si>
    <t>Eid Ul-Adha</t>
  </si>
  <si>
    <t>Thursday</t>
  </si>
  <si>
    <t>Independence Day</t>
  </si>
  <si>
    <t>Onam/Id-E-Milad</t>
  </si>
  <si>
    <t>Ganesh Chaturthi</t>
  </si>
  <si>
    <t>MahatmaGandhi Jayanti</t>
  </si>
  <si>
    <t>Dussehra</t>
  </si>
  <si>
    <t>Tuesday</t>
  </si>
  <si>
    <t>Diwali</t>
  </si>
  <si>
    <t>Guru Nanak Jayanti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</si>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</sst>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"/>
  </numFmts>
  <fonts count="11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b/>
      <sz val="11"/>
      <color rgb="FF222222"/>
      <name val="Arial"/>
    </font>
    <font>
      <sz val="11"/>
      <color rgb="FF222222"/>
      <name val="Arial"/>
    </font>
    <font>
      <sz val="11"/>
      <name val="Calibri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0" xfId="0" applyFont="1" applyFill="1"/>
    <xf numFmtId="0" fontId="9" fillId="0" borderId="1" xfId="0" applyFont="1" applyBorder="1"/>
    <xf numFmtId="0" fontId="10" fillId="3" borderId="1" xfId="0" applyFont="1" applyFill="1" applyBorder="1" applyAlignment="1">
      <alignment vertical="top"/>
    </xf>
    <xf numFmtId="165" fontId="10" fillId="3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1">
    <dxf>
      <font>
        <color theme="0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0"/>
  <sheetViews>
    <sheetView tabSelected="1" workbookViewId="0">
      <pane ySplit="2" topLeftCell="A18" activePane="bottomLeft" state="frozen"/>
      <selection pane="bottomLeft" activeCell="A23" sqref="A23:XFD23"/>
    </sheetView>
  </sheetViews>
  <sheetFormatPr defaultColWidth="14.453125" defaultRowHeight="15" customHeight="1" x14ac:dyDescent="0.35"/>
  <cols>
    <col min="1" max="1" width="25.7265625" customWidth="1"/>
    <col min="2" max="2" width="18.7265625" customWidth="1"/>
    <col min="3" max="3" width="21.54296875" customWidth="1"/>
    <col min="4" max="4" width="17.26953125" customWidth="1"/>
    <col min="5" max="5" width="17.08984375" customWidth="1"/>
    <col min="6" max="7" width="16.54296875" customWidth="1"/>
    <col min="8" max="8" width="20" customWidth="1"/>
    <col min="9" max="9" width="17.54296875" customWidth="1"/>
    <col min="10" max="10" width="15.453125" customWidth="1"/>
    <col min="11" max="11" width="14.54296875" customWidth="1"/>
    <col min="12" max="12" width="14" customWidth="1"/>
  </cols>
  <sheetData>
    <row r="1" spans="1:12" ht="14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 spans="1:12" ht="14.5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5" t="s">
        <v>10</v>
      </c>
      <c r="L2" s="4" t="s">
        <v>11</v>
      </c>
    </row>
    <row r="3" spans="1:12" ht="14.5" x14ac:dyDescent="0.35">
      <c r="A3" s="6" t="s">
        <v>12</v>
      </c>
      <c r="B3" s="7">
        <f ca="1">IFERROR(__xludf.DUMMYFUNCTION("vlookup(A3,importrange(""https://docs.google.com/spreadsheets/d/1arpJoJSlKHkJ-Zn4sJxqp3okt8tUTIYCnkob2xnYiCU/edit?usp=sharing"",""Jan 2026!$A:$AH""),34,0)+vlookup(A3,importrange(""https://docs.google.com/spreadsheets/d/1arpJoJSlKHkJ-Zn4sJxqp3okt8tUTIYCnko"&amp;"b2xnYiCU/edit?usp=sharing"",""Feb 2026!$A:$AH""),34,0)+vlookup(A3,importrange(""https://docs.google.com/spreadsheets/d/1arpJoJSlKHkJ-Zn4sJxqp3okt8tUTIYCnkob2xnYiCU/edit?usp=sharing"",""Mar 2026!$A:$AH""),34,0)+vlookup(A3,importrange(""https://docs.google."&amp;"com/spreadsheets/d/1arpJoJSlKHkJ-Zn4sJxqp3okt8tUTIYCnkob2xnYiCU/edit?usp=sharing"",""Apr 2026!$A:$AH""),34,0)+vlookup(A3,importrange(""https://docs.google.com/spreadsheets/d/1arpJoJSlKHkJ-Zn4sJxqp3okt8tUTIYCnkob2xnYiCU/edit?usp=sharing"",""May 2026!$A:$AH"&amp;"""),34,0)+vlookup(A3,importrange(""https://docs.google.com/spreadsheets/d/1arpJoJSlKHkJ-Zn4sJxqp3okt8tUTIYCnkob2xnYiCU/edit?usp=sharing"",""June 2026!$A:$AH""),34,0)+vlookup(A3,importrange(""https://docs.google.com/spreadsheets/d/1arpJoJSlKHkJ-Zn4sJxqp3ok"&amp;"t8tUTIYCnkob2xnYiCU/edit?usp=sharing"",""Current Month!$A:$AH""),34,0)"),0)</f>
        <v>0</v>
      </c>
      <c r="C3" s="7">
        <f ca="1">IFERROR(__xludf.DUMMYFUNCTION("vlookup(A3,importrange(""https://docs.google.com/spreadsheets/d/1arpJoJSlKHkJ-Zn4sJxqp3okt8tUTIYCnkob2xnYiCU/edit?usp=sharing"",""Jan 2026!$A:$AI""),35,0)+vlookup(A3,importrange(""https://docs.google.com/spreadsheets/d/1arpJoJSlKHkJ-Zn4sJxqp3okt8tUTIYCnko"&amp;"b2xnYiCU/edit?usp=sharing"",""Feb 2026!$A:$AI""),35,0)+vlookup(A3,importrange(""https://docs.google.com/spreadsheets/d/1arpJoJSlKHkJ-Zn4sJxqp3okt8tUTIYCnkob2xnYiCU/edit?usp=sharing"",""Mar 2026!$A:$AI""),35,0)+vlookup(A3,importrange(""https://docs.google."&amp;"com/spreadsheets/d/1arpJoJSlKHkJ-Zn4sJxqp3okt8tUTIYCnkob2xnYiCU/edit?usp=sharing"",""Apr 2026!$A:$AI""),35,0)+vlookup(A3,importrange(""https://docs.google.com/spreadsheets/d/1arpJoJSlKHkJ-Zn4sJxqp3okt8tUTIYCnkob2xnYiCU/edit?usp=sharing"",""May 2026!$A:$AI"&amp;"""),35,0)+vlookup(A3,importrange(""https://docs.google.com/spreadsheets/d/1arpJoJSlKHkJ-Zn4sJxqp3okt8tUTIYCnkob2xnYiCU/edit?usp=sharing"",""June 2026!$A:$AI""),35,0)+vlookup(A3,importrange(""https://docs.google.com/spreadsheets/d/1arpJoJSlKHkJ-Zn4sJxqp3ok"&amp;"t8tUTIYCnkob2xnYiCU/edit?usp=sharing"",""Current Month!$A:$AI""),35,0)"),0)</f>
        <v>0</v>
      </c>
      <c r="D3" s="7">
        <f ca="1">IFERROR(__xludf.DUMMYFUNCTION("vlookup(A3,importrange(""https://docs.google.com/spreadsheets/d/1arpJoJSlKHkJ-Zn4sJxqp3okt8tUTIYCnkob2xnYiCU/edit?usp=sharing"",""Jan 2026!$A:$AJ""),36,0)+vlookup(A3,importrange(""https://docs.google.com/spreadsheets/d/1arpJoJSlKHkJ-Zn4sJxqp3okt8tUTIYCnko"&amp;"b2xnYiCU/edit?usp=sharing"",""Feb 2026!$A:$AJ""),36,0)+vlookup(A3,importrange(""https://docs.google.com/spreadsheets/d/1arpJoJSlKHkJ-Zn4sJxqp3okt8tUTIYCnkob2xnYiCU/edit?usp=sharing"",""Mar 2026!$A:$AJ""),36,0)+vlookup(A3,importrange(""https://docs.google."&amp;"com/spreadsheets/d/1arpJoJSlKHkJ-Zn4sJxqp3okt8tUTIYCnkob2xnYiCU/edit?usp=sharing"",""Apr 2026!$A:$AJ""),36,0)+vlookup(A3,importrange(""https://docs.google.com/spreadsheets/d/1arpJoJSlKHkJ-Zn4sJxqp3okt8tUTIYCnkob2xnYiCU/edit?usp=sharing"",""May 2026!$A:$AJ"&amp;"""),36,0)+vlookup(A3,importrange(""https://docs.google.com/spreadsheets/d/1arpJoJSlKHkJ-Zn4sJxqp3okt8tUTIYCnkob2xnYiCU/edit?usp=sharing"",""June 2026!$A:$AJ""),36,0)+vlookup(A3,importrange(""https://docs.google.com/spreadsheets/d/1arpJoJSlKHkJ-Zn4sJxqp3ok"&amp;"t8tUTIYCnkob2xnYiCU/edit?usp=sharing"",""Current Month!$A:$AJ""),36,0)"),0)</f>
        <v>0</v>
      </c>
      <c r="E3" s="7">
        <f ca="1">IFERROR(__xludf.DUMMYFUNCTION("vlookup(A3,importrange(""https://docs.google.com/spreadsheets/d/1arpJoJSlKHkJ-Zn4sJxqp3okt8tUTIYCnkob2xnYiCU/edit?usp=sharing"",""Jan 2026!$A:$AK""),37,0)+vlookup(A3,importrange(""https://docs.google.com/spreadsheets/d/1arpJoJSlKHkJ-Zn4sJxqp3okt8tUTIYCnko"&amp;"b2xnYiCU/edit?usp=sharing"",""Feb 2026!$A:$AK""),37,0)+vlookup(A3,importrange(""https://docs.google.com/spreadsheets/d/1arpJoJSlKHkJ-Zn4sJxqp3okt8tUTIYCnkob2xnYiCU/edit?usp=sharing"",""Mar 2026!$A:$AK""),37,0)+vlookup(A3,importrange(""https://docs.google."&amp;"com/spreadsheets/d/1arpJoJSlKHkJ-Zn4sJxqp3okt8tUTIYCnkob2xnYiCU/edit?usp=sharing"",""Apr 2026!$A:$AK""),37,0)+vlookup(A3,importrange(""https://docs.google.com/spreadsheets/d/1arpJoJSlKHkJ-Zn4sJxqp3okt8tUTIYCnkob2xnYiCU/edit?usp=sharing"",""May 2026!$A:$AK"&amp;"""),37,0)+vlookup(A3,importrange(""https://docs.google.com/spreadsheets/d/1arpJoJSlKHkJ-Zn4sJxqp3okt8tUTIYCnkob2xnYiCU/edit?usp=sharing"",""June 2026!$A:$AK""),37,0)+vlookup(A3,importrange(""https://docs.google.com/spreadsheets/d/1arpJoJSlKHkJ-Zn4sJxqp3ok"&amp;"t8tUTIYCnkob2xnYiCU/edit?usp=sharing"",""Current Month!$A:$AK""),37,0)"),1)</f>
        <v>1</v>
      </c>
      <c r="F3" s="7">
        <f t="shared" ref="F3:F36" ca="1" si="0">(4+E3)-G3</f>
        <v>5</v>
      </c>
      <c r="G3" s="7">
        <f ca="1">IFERROR(__xludf.DUMMYFUNCTION("vlookup(A3,importrange(""https://docs.google.com/spreadsheets/d/1arpJoJSlKHkJ-Zn4sJxqp3okt8tUTIYCnkob2xnYiCU/edit?usp=sharing"",""Jan 2026!$A:$AN""),40,0)+vlookup(A3,importrange(""https://docs.google.com/spreadsheets/d/1arpJoJSlKHkJ-Zn4sJxqp3okt8tUTIYCnko"&amp;"b2xnYiCU/edit?usp=sharing"",""Feb 2026!$A:$AN""),40,0)+vlookup(A3,importrange(""https://docs.google.com/spreadsheets/d/1arpJoJSlKHkJ-Zn4sJxqp3okt8tUTIYCnkob2xnYiCU/edit?usp=sharing"",""Mar 2026!$A:$AN""),40,0)+vlookup(A3,importrange(""https://docs.google."&amp;"com/spreadsheets/d/1arpJoJSlKHkJ-Zn4sJxqp3okt8tUTIYCnkob2xnYiCU/edit?usp=sharing"",""Apr 2026!$A:$AN""),40,0)+vlookup(A3,importrange(""https://docs.google.com/spreadsheets/d/1arpJoJSlKHkJ-Zn4sJxqp3okt8tUTIYCnkob2xnYiCU/edit?usp=sharing"",""May 2026!$A:$AN"&amp;"""),40,0)+vlookup(A3,importrange(""https://docs.google.com/spreadsheets/d/1arpJoJSlKHkJ-Zn4sJxqp3okt8tUTIYCnkob2xnYiCU/edit?usp=sharing"",""June 2026!$A:$AN""),40,0)+vlookup(A3,importrange(""https://docs.google.com/spreadsheets/d/1arpJoJSlKHkJ-Zn4sJxqp3ok"&amp;"t8tUTIYCnkob2xnYiCU/edit?usp=sharing"",""Current Month!$A:$AN""),40,0)"),0)</f>
        <v>0</v>
      </c>
      <c r="H3" s="7">
        <v>12</v>
      </c>
      <c r="I3" s="8">
        <f t="shared" ref="I3:I36" ca="1" si="1">((ROUNDUP(((21/12)*H3),0)-(B3+C3)))</f>
        <v>21</v>
      </c>
      <c r="J3" s="7">
        <f ca="1">IFERROR(__xludf.DUMMYFUNCTION("vlookup(A3,importrange(""https://docs.google.com/spreadsheets/d/1arpJoJSlKHkJ-Zn4sJxqp3okt8tUTIYCnkob2xnYiCU/edit?usp=sharing"",""Jan 2026!$A:$AP""),41,0)+vlookup(A3,importrange(""https://docs.google.com/spreadsheets/d/1arpJoJSlKHkJ-Zn4sJxqp3okt8tUTIYCnko"&amp;"b2xnYiCU/edit?usp=sharing"",""Feb 2026!$A:$AP""),41,0)+vlookup(A3,importrange(""https://docs.google.com/spreadsheets/d/1arpJoJSlKHkJ-Zn4sJxqp3okt8tUTIYCnkob2xnYiCU/edit?usp=sharing"",""Mar 2026!$A:$AP""),41,0)+vlookup(A3,importrange(""https://docs.google."&amp;"com/spreadsheets/d/1arpJoJSlKHkJ-Zn4sJxqp3okt8tUTIYCnkob2xnYiCU/edit?usp=sharing"",""Apr 2026!$A:$AP""),41,0)+vlookup(A3,importrange(""https://docs.google.com/spreadsheets/d/1arpJoJSlKHkJ-Zn4sJxqp3okt8tUTIYCnkob2xnYiCU/edit?usp=sharing"",""Current Month!$"&amp;"A:$AP""),41,0)"),1)</f>
        <v>1</v>
      </c>
      <c r="K3" s="9">
        <f ca="1">IFERROR(__xludf.DUMMYFUNCTION("J3/((vlookup(A3,importrange(""https://docs.google.com/spreadsheets/d/1arpJoJSlKHkJ-Zn4sJxqp3okt8tUTIYCnkob2xnYiCU/edit?usp=sharing"",""Jan 2026!$A:$AG""),33,0))+(vlookup(A3,importrange(""https://docs.google.com/spreadsheets/d/1arpJoJSlKHkJ-Zn4sJxqp3okt8tU"&amp;"TIYCnkob2xnYiCU/edit?usp=sharing"",""Feb 2026!$A:$AG""),33,0))+(vlookup(A3,importrange(""https://docs.google.com/spreadsheets/d/1arpJoJSlKHkJ-Zn4sJxqp3okt8tUTIYCnkob2xnYiCU/edit?usp=sharing"",""Mar 2026!$A:$AG""),33,0))+(vlookup(A3,importrange(""https://d"&amp;"ocs.google.com/spreadsheets/d/1arpJoJSlKHkJ-Zn4sJxqp3okt8tUTIYCnkob2xnYiCU/edit?usp=sharing"",""Apr 2026!$A:$AG""),33,0))+(vlookup(A3,importrange(""https://docs.google.com/spreadsheets/d/1arpJoJSlKHkJ-Zn4sJxqp3okt8tUTIYCnkob2xnYiCU/edit?usp=sharing"",""Cu"&amp;"rrent Month!$A:$AG""),33,0)))"),0.0101010101010101)</f>
        <v>1.01010101010101E-2</v>
      </c>
      <c r="L3" s="7">
        <f ca="1">IFERROR(__xludf.DUMMYFUNCTION("vlookup(A3,importrange(""https://docs.google.com/spreadsheets/d/1arpJoJSlKHkJ-Zn4sJxqp3okt8tUTIYCnkob2xnYiCU/edit?usp=sharing"",""Current Month!$A:$AP""),42,0)+vlookup(A3,importrange(""https://docs.google.com/spreadsheets/d/1arpJoJSlKHkJ-Zn4sJxqp3okt8tUTI"&amp;"YCnkob2xnYiCU/edit?usp=sharing"",""Jan 2026!$A:$AP""),42,0)+vlookup(A3,importrange(""https://docs.google.com/spreadsheets/d/1arpJoJSlKHkJ-Zn4sJxqp3okt8tUTIYCnkob2xnYiCU/edit?usp=sharing"",""Feb 2026!$A:$AP""),42,0)+vlookup(A3,importrange(""https://docs.go"&amp;"ogle.com/spreadsheets/d/1arpJoJSlKHkJ-Zn4sJxqp3okt8tUTIYCnkob2xnYiCU/edit?usp=sharing"",""Mar 2026!$A:$AP""),42,0)+vlookup(A3,importrange(""https://docs.google.com/spreadsheets/d/1arpJoJSlKHkJ-Zn4sJxqp3okt8tUTIYCnkob2xnYiCU/edit?usp=sharing"",""Apr 2026!$"&amp;"A:$AP""),42,0)"),0)</f>
        <v>0</v>
      </c>
    </row>
    <row r="4" spans="1:12" ht="14.5" x14ac:dyDescent="0.35">
      <c r="A4" s="6" t="s">
        <v>13</v>
      </c>
      <c r="B4" s="7">
        <f ca="1">IFERROR(__xludf.DUMMYFUNCTION("vlookup(A4,importrange(""https://docs.google.com/spreadsheets/d/1arpJoJSlKHkJ-Zn4sJxqp3okt8tUTIYCnkob2xnYiCU/edit?usp=sharing"",""Jan 2026!$A:$AH""),34,0)+vlookup(A4,importrange(""https://docs.google.com/spreadsheets/d/1arpJoJSlKHkJ-Zn4sJxqp3okt8tUTIYCnko"&amp;"b2xnYiCU/edit?usp=sharing"",""Feb 2026!$A:$AH""),34,0)+vlookup(A4,importrange(""https://docs.google.com/spreadsheets/d/1arpJoJSlKHkJ-Zn4sJxqp3okt8tUTIYCnkob2xnYiCU/edit?usp=sharing"",""Mar 2026!$A:$AH""),34,0)+vlookup(A4,importrange(""https://docs.google."&amp;"com/spreadsheets/d/1arpJoJSlKHkJ-Zn4sJxqp3okt8tUTIYCnkob2xnYiCU/edit?usp=sharing"",""Apr 2026!$A:$AH""),34,0)+vlookup(A4,importrange(""https://docs.google.com/spreadsheets/d/1arpJoJSlKHkJ-Zn4sJxqp3okt8tUTIYCnkob2xnYiCU/edit?usp=sharing"",""May 2026!$A:$AH"&amp;"""),34,0)+vlookup(A4,importrange(""https://docs.google.com/spreadsheets/d/1arpJoJSlKHkJ-Zn4sJxqp3okt8tUTIYCnkob2xnYiCU/edit?usp=sharing"",""June 2026!$A:$AH""),34,0)+vlookup(A4,importrange(""https://docs.google.com/spreadsheets/d/1arpJoJSlKHkJ-Zn4sJxqp3ok"&amp;"t8tUTIYCnkob2xnYiCU/edit?usp=sharing"",""Current Month!$A:$AH""),34,0)"),0)</f>
        <v>0</v>
      </c>
      <c r="C4" s="7">
        <f ca="1">IFERROR(__xludf.DUMMYFUNCTION("vlookup(A4,importrange(""https://docs.google.com/spreadsheets/d/1arpJoJSlKHkJ-Zn4sJxqp3okt8tUTIYCnkob2xnYiCU/edit?usp=sharing"",""Jan 2026!$A:$AI""),35,0)+vlookup(A4,importrange(""https://docs.google.com/spreadsheets/d/1arpJoJSlKHkJ-Zn4sJxqp3okt8tUTIYCnko"&amp;"b2xnYiCU/edit?usp=sharing"",""Feb 2026!$A:$AI""),35,0)+vlookup(A4,importrange(""https://docs.google.com/spreadsheets/d/1arpJoJSlKHkJ-Zn4sJxqp3okt8tUTIYCnkob2xnYiCU/edit?usp=sharing"",""Mar 2026!$A:$AI""),35,0)+vlookup(A4,importrange(""https://docs.google."&amp;"com/spreadsheets/d/1arpJoJSlKHkJ-Zn4sJxqp3okt8tUTIYCnkob2xnYiCU/edit?usp=sharing"",""Apr 2026!$A:$AI""),35,0)+vlookup(A4,importrange(""https://docs.google.com/spreadsheets/d/1arpJoJSlKHkJ-Zn4sJxqp3okt8tUTIYCnkob2xnYiCU/edit?usp=sharing"",""May 2026!$A:$AI"&amp;"""),35,0)+vlookup(A4,importrange(""https://docs.google.com/spreadsheets/d/1arpJoJSlKHkJ-Zn4sJxqp3okt8tUTIYCnkob2xnYiCU/edit?usp=sharing"",""June 2026!$A:$AI""),35,0)+vlookup(A4,importrange(""https://docs.google.com/spreadsheets/d/1arpJoJSlKHkJ-Zn4sJxqp3ok"&amp;"t8tUTIYCnkob2xnYiCU/edit?usp=sharing"",""Current Month!$A:$AI""),35,0)"),6.5)</f>
        <v>6.5</v>
      </c>
      <c r="D4" s="7">
        <f ca="1">IFERROR(__xludf.DUMMYFUNCTION("vlookup(A4,importrange(""https://docs.google.com/spreadsheets/d/1arpJoJSlKHkJ-Zn4sJxqp3okt8tUTIYCnkob2xnYiCU/edit?usp=sharing"",""Jan 2026!$A:$AJ""),36,0)+vlookup(A4,importrange(""https://docs.google.com/spreadsheets/d/1arpJoJSlKHkJ-Zn4sJxqp3okt8tUTIYCnko"&amp;"b2xnYiCU/edit?usp=sharing"",""Feb 2026!$A:$AJ""),36,0)+vlookup(A4,importrange(""https://docs.google.com/spreadsheets/d/1arpJoJSlKHkJ-Zn4sJxqp3okt8tUTIYCnkob2xnYiCU/edit?usp=sharing"",""Mar 2026!$A:$AJ""),36,0)+vlookup(A4,importrange(""https://docs.google."&amp;"com/spreadsheets/d/1arpJoJSlKHkJ-Zn4sJxqp3okt8tUTIYCnkob2xnYiCU/edit?usp=sharing"",""Apr 2026!$A:$AJ""),36,0)+vlookup(A4,importrange(""https://docs.google.com/spreadsheets/d/1arpJoJSlKHkJ-Zn4sJxqp3okt8tUTIYCnkob2xnYiCU/edit?usp=sharing"",""May 2026!$A:$AJ"&amp;"""),36,0)+vlookup(A4,importrange(""https://docs.google.com/spreadsheets/d/1arpJoJSlKHkJ-Zn4sJxqp3okt8tUTIYCnkob2xnYiCU/edit?usp=sharing"",""June 2026!$A:$AJ""),36,0)+vlookup(A4,importrange(""https://docs.google.com/spreadsheets/d/1arpJoJSlKHkJ-Zn4sJxqp3ok"&amp;"t8tUTIYCnkob2xnYiCU/edit?usp=sharing"",""Current Month!$A:$AJ""),36,0)"),0)</f>
        <v>0</v>
      </c>
      <c r="E4" s="7">
        <f ca="1">IFERROR(__xludf.DUMMYFUNCTION("vlookup(A4,importrange(""https://docs.google.com/spreadsheets/d/1arpJoJSlKHkJ-Zn4sJxqp3okt8tUTIYCnkob2xnYiCU/edit?usp=sharing"",""Jan 2026!$A:$AK""),37,0)+vlookup(A4,importrange(""https://docs.google.com/spreadsheets/d/1arpJoJSlKHkJ-Zn4sJxqp3okt8tUTIYCnko"&amp;"b2xnYiCU/edit?usp=sharing"",""Feb 2026!$A:$AK""),37,0)+vlookup(A4,importrange(""https://docs.google.com/spreadsheets/d/1arpJoJSlKHkJ-Zn4sJxqp3okt8tUTIYCnkob2xnYiCU/edit?usp=sharing"",""Mar 2026!$A:$AK""),37,0)+vlookup(A4,importrange(""https://docs.google."&amp;"com/spreadsheets/d/1arpJoJSlKHkJ-Zn4sJxqp3okt8tUTIYCnkob2xnYiCU/edit?usp=sharing"",""Apr 2026!$A:$AK""),37,0)+vlookup(A4,importrange(""https://docs.google.com/spreadsheets/d/1arpJoJSlKHkJ-Zn4sJxqp3okt8tUTIYCnkob2xnYiCU/edit?usp=sharing"",""May 2026!$A:$AK"&amp;"""),37,0)+vlookup(A4,importrange(""https://docs.google.com/spreadsheets/d/1arpJoJSlKHkJ-Zn4sJxqp3okt8tUTIYCnkob2xnYiCU/edit?usp=sharing"",""June 2026!$A:$AK""),37,0)+vlookup(A4,importrange(""https://docs.google.com/spreadsheets/d/1arpJoJSlKHkJ-Zn4sJxqp3ok"&amp;"t8tUTIYCnkob2xnYiCU/edit?usp=sharing"",""Current Month!$A:$AK""),37,0)"),0)</f>
        <v>0</v>
      </c>
      <c r="F4" s="7">
        <f t="shared" ca="1" si="0"/>
        <v>4</v>
      </c>
      <c r="G4" s="7">
        <f ca="1">IFERROR(__xludf.DUMMYFUNCTION("vlookup(A4,importrange(""https://docs.google.com/spreadsheets/d/1arpJoJSlKHkJ-Zn4sJxqp3okt8tUTIYCnkob2xnYiCU/edit?usp=sharing"",""Jan 2026!$A:$AN""),40,0)+vlookup(A4,importrange(""https://docs.google.com/spreadsheets/d/1arpJoJSlKHkJ-Zn4sJxqp3okt8tUTIYCnko"&amp;"b2xnYiCU/edit?usp=sharing"",""Feb 2026!$A:$AN""),40,0)+vlookup(A4,importrange(""https://docs.google.com/spreadsheets/d/1arpJoJSlKHkJ-Zn4sJxqp3okt8tUTIYCnkob2xnYiCU/edit?usp=sharing"",""Mar 2026!$A:$AN""),40,0)+vlookup(A4,importrange(""https://docs.google."&amp;"com/spreadsheets/d/1arpJoJSlKHkJ-Zn4sJxqp3okt8tUTIYCnkob2xnYiCU/edit?usp=sharing"",""Apr 2026!$A:$AN""),40,0)+vlookup(A4,importrange(""https://docs.google.com/spreadsheets/d/1arpJoJSlKHkJ-Zn4sJxqp3okt8tUTIYCnkob2xnYiCU/edit?usp=sharing"",""May 2026!$A:$AN"&amp;"""),40,0)+vlookup(A4,importrange(""https://docs.google.com/spreadsheets/d/1arpJoJSlKHkJ-Zn4sJxqp3okt8tUTIYCnkob2xnYiCU/edit?usp=sharing"",""June 2026!$A:$AN""),40,0)+vlookup(A4,importrange(""https://docs.google.com/spreadsheets/d/1arpJoJSlKHkJ-Zn4sJxqp3ok"&amp;"t8tUTIYCnkob2xnYiCU/edit?usp=sharing"",""Current Month!$A:$AN""),40,0)"),0)</f>
        <v>0</v>
      </c>
      <c r="H4" s="7">
        <v>12</v>
      </c>
      <c r="I4" s="8">
        <f t="shared" ca="1" si="1"/>
        <v>14.5</v>
      </c>
      <c r="J4" s="7">
        <f ca="1">IFERROR(__xludf.DUMMYFUNCTION("vlookup(A4,importrange(""https://docs.google.com/spreadsheets/d/1arpJoJSlKHkJ-Zn4sJxqp3okt8tUTIYCnkob2xnYiCU/edit?usp=sharing"",""Jan 2026!$A:$AP""),41,0)+vlookup(A4,importrange(""https://docs.google.com/spreadsheets/d/1arpJoJSlKHkJ-Zn4sJxqp3okt8tUTIYCnko"&amp;"b2xnYiCU/edit?usp=sharing"",""Feb 2026!$A:$AP""),41,0)+vlookup(A4,importrange(""https://docs.google.com/spreadsheets/d/1arpJoJSlKHkJ-Zn4sJxqp3okt8tUTIYCnkob2xnYiCU/edit?usp=sharing"",""Mar 2026!$A:$AP""),41,0)+vlookup(A4,importrange(""https://docs.google."&amp;"com/spreadsheets/d/1arpJoJSlKHkJ-Zn4sJxqp3okt8tUTIYCnkob2xnYiCU/edit?usp=sharing"",""Current Month!$A:$AP""),41,0)"),10)</f>
        <v>10</v>
      </c>
      <c r="K4" s="9">
        <f ca="1">IFERROR(__xludf.DUMMYFUNCTION("J4/((vlookup(A4,importrange(""https://docs.google.com/spreadsheets/d/1arpJoJSlKHkJ-Zn4sJxqp3okt8tUTIYCnkob2xnYiCU/edit?usp=sharing"",""Jan 2026!$A:$AG""),33,0))+(vlookup(A4,importrange(""https://docs.google.com/spreadsheets/d/1arpJoJSlKHkJ-Zn4sJxqp3okt8tU"&amp;"TIYCnkob2xnYiCU/edit?usp=sharing"",""Feb 2026!$A:$AG""),33,0))+(vlookup(A4,importrange(""https://docs.google.com/spreadsheets/d/1arpJoJSlKHkJ-Zn4sJxqp3okt8tUTIYCnkob2xnYiCU/edit?usp=sharing"",""Mar 2026!$A:$AG""),33,0))+(vlookup(A4,importrange(""https://d"&amp;"ocs.google.com/spreadsheets/d/1arpJoJSlKHkJ-Zn4sJxqp3okt8tUTIYCnkob2xnYiCU/edit?usp=sharing"",""Apr 2026!$A:$AG""),33,0))+(vlookup(A4,importrange(""https://docs.google.com/spreadsheets/d/1arpJoJSlKHkJ-Zn4sJxqp3okt8tUTIYCnkob2xnYiCU/edit?usp=sharing"",""Cu"&amp;"rrent Month!$A:$AG""),33,0)))"),0.111111111111111)</f>
        <v>0.11111111111111099</v>
      </c>
      <c r="L4" s="7">
        <f ca="1">IFERROR(__xludf.DUMMYFUNCTION("vlookup(A4,importrange(""https://docs.google.com/spreadsheets/d/1arpJoJSlKHkJ-Zn4sJxqp3okt8tUTIYCnkob2xnYiCU/edit?usp=sharing"",""Current Month!$A:$AP""),42,0)+vlookup(A4,importrange(""https://docs.google.com/spreadsheets/d/1arpJoJSlKHkJ-Zn4sJxqp3okt8tUTI"&amp;"YCnkob2xnYiCU/edit?usp=sharing"",""Jan 2026!$A:$AP""),42,0)+vlookup(A4,importrange(""https://docs.google.com/spreadsheets/d/1arpJoJSlKHkJ-Zn4sJxqp3okt8tUTIYCnkob2xnYiCU/edit?usp=sharing"",""Feb 2026!$A:$AP""),42,0)+vlookup(A4,importrange(""https://docs.go"&amp;"ogle.com/spreadsheets/d/1arpJoJSlKHkJ-Zn4sJxqp3okt8tUTIYCnkob2xnYiCU/edit?usp=sharing"",""Mar 2026!$A:$AP""),42,0)+vlookup(A4,importrange(""https://docs.google.com/spreadsheets/d/1arpJoJSlKHkJ-Zn4sJxqp3okt8tUTIYCnkob2xnYiCU/edit?usp=sharing"",""Apr 2026!$"&amp;"A:$AP""),42,0)"),0)</f>
        <v>0</v>
      </c>
    </row>
    <row r="5" spans="1:12" ht="14.5" x14ac:dyDescent="0.35">
      <c r="A5" s="6" t="s">
        <v>14</v>
      </c>
      <c r="B5" s="7">
        <f ca="1">IFERROR(__xludf.DUMMYFUNCTION("vlookup(A5,importrange(""https://docs.google.com/spreadsheets/d/1arpJoJSlKHkJ-Zn4sJxqp3okt8tUTIYCnkob2xnYiCU/edit?usp=sharing"",""Jan 2026!$A:$AH""),34,0)+vlookup(A5,importrange(""https://docs.google.com/spreadsheets/d/1arpJoJSlKHkJ-Zn4sJxqp3okt8tUTIYCnko"&amp;"b2xnYiCU/edit?usp=sharing"",""Feb 2026!$A:$AH""),34,0)+vlookup(A5,importrange(""https://docs.google.com/spreadsheets/d/1arpJoJSlKHkJ-Zn4sJxqp3okt8tUTIYCnkob2xnYiCU/edit?usp=sharing"",""Mar 2026!$A:$AH""),34,0)+vlookup(A5,importrange(""https://docs.google."&amp;"com/spreadsheets/d/1arpJoJSlKHkJ-Zn4sJxqp3okt8tUTIYCnkob2xnYiCU/edit?usp=sharing"",""Apr 2026!$A:$AH""),34,0)+vlookup(A5,importrange(""https://docs.google.com/spreadsheets/d/1arpJoJSlKHkJ-Zn4sJxqp3okt8tUTIYCnkob2xnYiCU/edit?usp=sharing"",""May 2026!$A:$AH"&amp;"""),34,0)+vlookup(A5,importrange(""https://docs.google.com/spreadsheets/d/1arpJoJSlKHkJ-Zn4sJxqp3okt8tUTIYCnkob2xnYiCU/edit?usp=sharing"",""June 2026!$A:$AH""),34,0)+vlookup(A5,importrange(""https://docs.google.com/spreadsheets/d/1arpJoJSlKHkJ-Zn4sJxqp3ok"&amp;"t8tUTIYCnkob2xnYiCU/edit?usp=sharing"",""Current Month!$A:$AH""),34,0)"),8)</f>
        <v>8</v>
      </c>
      <c r="C5" s="7">
        <f ca="1">IFERROR(__xludf.DUMMYFUNCTION("vlookup(A5,importrange(""https://docs.google.com/spreadsheets/d/1arpJoJSlKHkJ-Zn4sJxqp3okt8tUTIYCnkob2xnYiCU/edit?usp=sharing"",""Jan 2026!$A:$AI""),35,0)+vlookup(A5,importrange(""https://docs.google.com/spreadsheets/d/1arpJoJSlKHkJ-Zn4sJxqp3okt8tUTIYCnko"&amp;"b2xnYiCU/edit?usp=sharing"",""Feb 2026!$A:$AI""),35,0)+vlookup(A5,importrange(""https://docs.google.com/spreadsheets/d/1arpJoJSlKHkJ-Zn4sJxqp3okt8tUTIYCnkob2xnYiCU/edit?usp=sharing"",""Mar 2026!$A:$AI""),35,0)+vlookup(A5,importrange(""https://docs.google."&amp;"com/spreadsheets/d/1arpJoJSlKHkJ-Zn4sJxqp3okt8tUTIYCnkob2xnYiCU/edit?usp=sharing"",""Apr 2026!$A:$AI""),35,0)+vlookup(A5,importrange(""https://docs.google.com/spreadsheets/d/1arpJoJSlKHkJ-Zn4sJxqp3okt8tUTIYCnkob2xnYiCU/edit?usp=sharing"",""May 2026!$A:$AI"&amp;"""),35,0)+vlookup(A5,importrange(""https://docs.google.com/spreadsheets/d/1arpJoJSlKHkJ-Zn4sJxqp3okt8tUTIYCnkob2xnYiCU/edit?usp=sharing"",""June 2026!$A:$AI""),35,0)+vlookup(A5,importrange(""https://docs.google.com/spreadsheets/d/1arpJoJSlKHkJ-Zn4sJxqp3ok"&amp;"t8tUTIYCnkob2xnYiCU/edit?usp=sharing"",""Current Month!$A:$AI""),35,0)"),8.5)</f>
        <v>8.5</v>
      </c>
      <c r="D5" s="7">
        <f ca="1">IFERROR(__xludf.DUMMYFUNCTION("vlookup(A5,importrange(""https://docs.google.com/spreadsheets/d/1arpJoJSlKHkJ-Zn4sJxqp3okt8tUTIYCnkob2xnYiCU/edit?usp=sharing"",""Jan 2026!$A:$AJ""),36,0)+vlookup(A5,importrange(""https://docs.google.com/spreadsheets/d/1arpJoJSlKHkJ-Zn4sJxqp3okt8tUTIYCnko"&amp;"b2xnYiCU/edit?usp=sharing"",""Feb 2026!$A:$AJ""),36,0)+vlookup(A5,importrange(""https://docs.google.com/spreadsheets/d/1arpJoJSlKHkJ-Zn4sJxqp3okt8tUTIYCnkob2xnYiCU/edit?usp=sharing"",""Mar 2026!$A:$AJ""),36,0)+vlookup(A5,importrange(""https://docs.google."&amp;"com/spreadsheets/d/1arpJoJSlKHkJ-Zn4sJxqp3okt8tUTIYCnkob2xnYiCU/edit?usp=sharing"",""Apr 2026!$A:$AJ""),36,0)+vlookup(A5,importrange(""https://docs.google.com/spreadsheets/d/1arpJoJSlKHkJ-Zn4sJxqp3okt8tUTIYCnkob2xnYiCU/edit?usp=sharing"",""May 2026!$A:$AJ"&amp;"""),36,0)+vlookup(A5,importrange(""https://docs.google.com/spreadsheets/d/1arpJoJSlKHkJ-Zn4sJxqp3okt8tUTIYCnkob2xnYiCU/edit?usp=sharing"",""June 2026!$A:$AJ""),36,0)+vlookup(A5,importrange(""https://docs.google.com/spreadsheets/d/1arpJoJSlKHkJ-Zn4sJxqp3ok"&amp;"t8tUTIYCnkob2xnYiCU/edit?usp=sharing"",""Current Month!$A:$AJ""),36,0)"),0)</f>
        <v>0</v>
      </c>
      <c r="E5" s="7">
        <f ca="1">IFERROR(__xludf.DUMMYFUNCTION("vlookup(A5,importrange(""https://docs.google.com/spreadsheets/d/1arpJoJSlKHkJ-Zn4sJxqp3okt8tUTIYCnkob2xnYiCU/edit?usp=sharing"",""Jan 2026!$A:$AK""),37,0)+vlookup(A5,importrange(""https://docs.google.com/spreadsheets/d/1arpJoJSlKHkJ-Zn4sJxqp3okt8tUTIYCnko"&amp;"b2xnYiCU/edit?usp=sharing"",""Feb 2026!$A:$AK""),37,0)+vlookup(A5,importrange(""https://docs.google.com/spreadsheets/d/1arpJoJSlKHkJ-Zn4sJxqp3okt8tUTIYCnkob2xnYiCU/edit?usp=sharing"",""Mar 2026!$A:$AK""),37,0)+vlookup(A5,importrange(""https://docs.google."&amp;"com/spreadsheets/d/1arpJoJSlKHkJ-Zn4sJxqp3okt8tUTIYCnkob2xnYiCU/edit?usp=sharing"",""Apr 2026!$A:$AK""),37,0)+vlookup(A5,importrange(""https://docs.google.com/spreadsheets/d/1arpJoJSlKHkJ-Zn4sJxqp3okt8tUTIYCnkob2xnYiCU/edit?usp=sharing"",""May 2026!$A:$AK"&amp;"""),37,0)+vlookup(A5,importrange(""https://docs.google.com/spreadsheets/d/1arpJoJSlKHkJ-Zn4sJxqp3okt8tUTIYCnkob2xnYiCU/edit?usp=sharing"",""June 2026!$A:$AK""),37,0)+vlookup(A5,importrange(""https://docs.google.com/spreadsheets/d/1arpJoJSlKHkJ-Zn4sJxqp3ok"&amp;"t8tUTIYCnkob2xnYiCU/edit?usp=sharing"",""Current Month!$A:$AK""),37,0)"),0)</f>
        <v>0</v>
      </c>
      <c r="F5" s="7">
        <f t="shared" ca="1" si="0"/>
        <v>2</v>
      </c>
      <c r="G5" s="7">
        <f ca="1">IFERROR(__xludf.DUMMYFUNCTION("vlookup(A5,importrange(""https://docs.google.com/spreadsheets/d/1arpJoJSlKHkJ-Zn4sJxqp3okt8tUTIYCnkob2xnYiCU/edit?usp=sharing"",""Jan 2026!$A:$AN""),40,0)+vlookup(A5,importrange(""https://docs.google.com/spreadsheets/d/1arpJoJSlKHkJ-Zn4sJxqp3okt8tUTIYCnko"&amp;"b2xnYiCU/edit?usp=sharing"",""Feb 2026!$A:$AN""),40,0)+vlookup(A5,importrange(""https://docs.google.com/spreadsheets/d/1arpJoJSlKHkJ-Zn4sJxqp3okt8tUTIYCnkob2xnYiCU/edit?usp=sharing"",""Mar 2026!$A:$AN""),40,0)+vlookup(A5,importrange(""https://docs.google."&amp;"com/spreadsheets/d/1arpJoJSlKHkJ-Zn4sJxqp3okt8tUTIYCnkob2xnYiCU/edit?usp=sharing"",""Apr 2026!$A:$AN""),40,0)+vlookup(A5,importrange(""https://docs.google.com/spreadsheets/d/1arpJoJSlKHkJ-Zn4sJxqp3okt8tUTIYCnkob2xnYiCU/edit?usp=sharing"",""May 2026!$A:$AN"&amp;"""),40,0)+vlookup(A5,importrange(""https://docs.google.com/spreadsheets/d/1arpJoJSlKHkJ-Zn4sJxqp3okt8tUTIYCnkob2xnYiCU/edit?usp=sharing"",""June 2026!$A:$AN""),40,0)+vlookup(A5,importrange(""https://docs.google.com/spreadsheets/d/1arpJoJSlKHkJ-Zn4sJxqp3ok"&amp;"t8tUTIYCnkob2xnYiCU/edit?usp=sharing"",""Current Month!$A:$AN""),40,0)"),2)</f>
        <v>2</v>
      </c>
      <c r="H5" s="7">
        <v>12</v>
      </c>
      <c r="I5" s="8">
        <f t="shared" ca="1" si="1"/>
        <v>4.5</v>
      </c>
      <c r="J5" s="7">
        <f ca="1">IFERROR(__xludf.DUMMYFUNCTION("vlookup(A5,importrange(""https://docs.google.com/spreadsheets/d/1arpJoJSlKHkJ-Zn4sJxqp3okt8tUTIYCnkob2xnYiCU/edit?usp=sharing"",""Jan 2026!$A:$AP""),41,0)+vlookup(A5,importrange(""https://docs.google.com/spreadsheets/d/1arpJoJSlKHkJ-Zn4sJxqp3okt8tUTIYCnko"&amp;"b2xnYiCU/edit?usp=sharing"",""Feb 2026!$A:$AP""),41,0)+vlookup(A5,importrange(""https://docs.google.com/spreadsheets/d/1arpJoJSlKHkJ-Zn4sJxqp3okt8tUTIYCnkob2xnYiCU/edit?usp=sharing"",""Mar 2026!$A:$AP""),41,0)+vlookup(A5,importrange(""https://docs.google."&amp;"com/spreadsheets/d/1arpJoJSlKHkJ-Zn4sJxqp3okt8tUTIYCnkob2xnYiCU/edit?usp=sharing"",""Current Month!$A:$AP""),41,0)"),24)</f>
        <v>24</v>
      </c>
      <c r="K5" s="9">
        <f ca="1">IFERROR(__xludf.DUMMYFUNCTION("J5/((vlookup(A5,importrange(""https://docs.google.com/spreadsheets/d/1arpJoJSlKHkJ-Zn4sJxqp3okt8tUTIYCnkob2xnYiCU/edit?usp=sharing"",""Jan 2026!$A:$AG""),33,0))+(vlookup(A5,importrange(""https://docs.google.com/spreadsheets/d/1arpJoJSlKHkJ-Zn4sJxqp3okt8tU"&amp;"TIYCnkob2xnYiCU/edit?usp=sharing"",""Feb 2026!$A:$AG""),33,0))+(vlookup(A5,importrange(""https://docs.google.com/spreadsheets/d/1arpJoJSlKHkJ-Zn4sJxqp3okt8tUTIYCnkob2xnYiCU/edit?usp=sharing"",""Mar 2026!$A:$AG""),33,0))+(vlookup(A5,importrange(""https://d"&amp;"ocs.google.com/spreadsheets/d/1arpJoJSlKHkJ-Zn4sJxqp3okt8tUTIYCnkob2xnYiCU/edit?usp=sharing"",""Apr 2026!$A:$AG""),33,0))+(vlookup(A5,importrange(""https://docs.google.com/spreadsheets/d/1arpJoJSlKHkJ-Zn4sJxqp3okt8tUTIYCnkob2xnYiCU/edit?usp=sharing"",""Cu"&amp;"rrent Month!$A:$AG""),33,0)))"),0.268156424581005)</f>
        <v>0.26815642458100503</v>
      </c>
      <c r="L5" s="7">
        <f ca="1">IFERROR(__xludf.DUMMYFUNCTION("vlookup(A5,importrange(""https://docs.google.com/spreadsheets/d/1arpJoJSlKHkJ-Zn4sJxqp3okt8tUTIYCnkob2xnYiCU/edit?usp=sharing"",""Current Month!$A:$AP""),42,0)+vlookup(A5,importrange(""https://docs.google.com/spreadsheets/d/1arpJoJSlKHkJ-Zn4sJxqp3okt8tUTI"&amp;"YCnkob2xnYiCU/edit?usp=sharing"",""Jan 2026!$A:$AP""),42,0)+vlookup(A5,importrange(""https://docs.google.com/spreadsheets/d/1arpJoJSlKHkJ-Zn4sJxqp3okt8tUTIYCnkob2xnYiCU/edit?usp=sharing"",""Feb 2026!$A:$AP""),42,0)+vlookup(A5,importrange(""https://docs.go"&amp;"ogle.com/spreadsheets/d/1arpJoJSlKHkJ-Zn4sJxqp3okt8tUTIYCnkob2xnYiCU/edit?usp=sharing"",""Mar 2026!$A:$AP""),42,0)+vlookup(A5,importrange(""https://docs.google.com/spreadsheets/d/1arpJoJSlKHkJ-Zn4sJxqp3okt8tUTIYCnkob2xnYiCU/edit?usp=sharing"",""Apr 2026!$"&amp;"A:$AP""),42,0)"),1)</f>
        <v>1</v>
      </c>
    </row>
    <row r="6" spans="1:12" ht="14.5" x14ac:dyDescent="0.35">
      <c r="A6" s="6" t="s">
        <v>15</v>
      </c>
      <c r="B6" s="7">
        <f ca="1">IFERROR(__xludf.DUMMYFUNCTION("vlookup(A6,importrange(""https://docs.google.com/spreadsheets/d/1arpJoJSlKHkJ-Zn4sJxqp3okt8tUTIYCnkob2xnYiCU/edit?usp=sharing"",""Jan 2026!$A:$AH""),34,0)+vlookup(A6,importrange(""https://docs.google.com/spreadsheets/d/1arpJoJSlKHkJ-Zn4sJxqp3okt8tUTIYCnko"&amp;"b2xnYiCU/edit?usp=sharing"",""Feb 2026!$A:$AH""),34,0)+vlookup(A6,importrange(""https://docs.google.com/spreadsheets/d/1arpJoJSlKHkJ-Zn4sJxqp3okt8tUTIYCnkob2xnYiCU/edit?usp=sharing"",""Mar 2026!$A:$AH""),34,0)+vlookup(A6,importrange(""https://docs.google."&amp;"com/spreadsheets/d/1arpJoJSlKHkJ-Zn4sJxqp3okt8tUTIYCnkob2xnYiCU/edit?usp=sharing"",""Apr 2026!$A:$AH""),34,0)+vlookup(A6,importrange(""https://docs.google.com/spreadsheets/d/1arpJoJSlKHkJ-Zn4sJxqp3okt8tUTIYCnkob2xnYiCU/edit?usp=sharing"",""May 2026!$A:$AH"&amp;"""),34,0)+vlookup(A6,importrange(""https://docs.google.com/spreadsheets/d/1arpJoJSlKHkJ-Zn4sJxqp3okt8tUTIYCnkob2xnYiCU/edit?usp=sharing"",""June 2026!$A:$AH""),34,0)+vlookup(A6,importrange(""https://docs.google.com/spreadsheets/d/1arpJoJSlKHkJ-Zn4sJxqp3ok"&amp;"t8tUTIYCnkob2xnYiCU/edit?usp=sharing"",""Current Month!$A:$AH""),34,0)"),5)</f>
        <v>5</v>
      </c>
      <c r="C6" s="7">
        <f ca="1">IFERROR(__xludf.DUMMYFUNCTION("vlookup(A6,importrange(""https://docs.google.com/spreadsheets/d/1arpJoJSlKHkJ-Zn4sJxqp3okt8tUTIYCnkob2xnYiCU/edit?usp=sharing"",""Jan 2026!$A:$AI""),35,0)+vlookup(A6,importrange(""https://docs.google.com/spreadsheets/d/1arpJoJSlKHkJ-Zn4sJxqp3okt8tUTIYCnko"&amp;"b2xnYiCU/edit?usp=sharing"",""Feb 2026!$A:$AI""),35,0)+vlookup(A6,importrange(""https://docs.google.com/spreadsheets/d/1arpJoJSlKHkJ-Zn4sJxqp3okt8tUTIYCnkob2xnYiCU/edit?usp=sharing"",""Mar 2026!$A:$AI""),35,0)+vlookup(A6,importrange(""https://docs.google."&amp;"com/spreadsheets/d/1arpJoJSlKHkJ-Zn4sJxqp3okt8tUTIYCnkob2xnYiCU/edit?usp=sharing"",""Apr 2026!$A:$AI""),35,0)+vlookup(A6,importrange(""https://docs.google.com/spreadsheets/d/1arpJoJSlKHkJ-Zn4sJxqp3okt8tUTIYCnkob2xnYiCU/edit?usp=sharing"",""May 2026!$A:$AI"&amp;"""),35,0)+vlookup(A6,importrange(""https://docs.google.com/spreadsheets/d/1arpJoJSlKHkJ-Zn4sJxqp3okt8tUTIYCnkob2xnYiCU/edit?usp=sharing"",""June 2026!$A:$AI""),35,0)+vlookup(A6,importrange(""https://docs.google.com/spreadsheets/d/1arpJoJSlKHkJ-Zn4sJxqp3ok"&amp;"t8tUTIYCnkob2xnYiCU/edit?usp=sharing"",""Current Month!$A:$AI""),35,0)"),6)</f>
        <v>6</v>
      </c>
      <c r="D6" s="7">
        <f ca="1">IFERROR(__xludf.DUMMYFUNCTION("vlookup(A6,importrange(""https://docs.google.com/spreadsheets/d/1arpJoJSlKHkJ-Zn4sJxqp3okt8tUTIYCnkob2xnYiCU/edit?usp=sharing"",""Jan 2026!$A:$AJ""),36,0)+vlookup(A6,importrange(""https://docs.google.com/spreadsheets/d/1arpJoJSlKHkJ-Zn4sJxqp3okt8tUTIYCnko"&amp;"b2xnYiCU/edit?usp=sharing"",""Feb 2026!$A:$AJ""),36,0)+vlookup(A6,importrange(""https://docs.google.com/spreadsheets/d/1arpJoJSlKHkJ-Zn4sJxqp3okt8tUTIYCnkob2xnYiCU/edit?usp=sharing"",""Mar 2026!$A:$AJ""),36,0)+vlookup(A6,importrange(""https://docs.google."&amp;"com/spreadsheets/d/1arpJoJSlKHkJ-Zn4sJxqp3okt8tUTIYCnkob2xnYiCU/edit?usp=sharing"",""Apr 2026!$A:$AJ""),36,0)+vlookup(A6,importrange(""https://docs.google.com/spreadsheets/d/1arpJoJSlKHkJ-Zn4sJxqp3okt8tUTIYCnkob2xnYiCU/edit?usp=sharing"",""May 2026!$A:$AJ"&amp;"""),36,0)+vlookup(A6,importrange(""https://docs.google.com/spreadsheets/d/1arpJoJSlKHkJ-Zn4sJxqp3okt8tUTIYCnkob2xnYiCU/edit?usp=sharing"",""June 2026!$A:$AJ""),36,0)+vlookup(A6,importrange(""https://docs.google.com/spreadsheets/d/1arpJoJSlKHkJ-Zn4sJxqp3ok"&amp;"t8tUTIYCnkob2xnYiCU/edit?usp=sharing"",""Current Month!$A:$AJ""),36,0)"),0)</f>
        <v>0</v>
      </c>
      <c r="E6" s="7">
        <f ca="1">IFERROR(__xludf.DUMMYFUNCTION("vlookup(A6,importrange(""https://docs.google.com/spreadsheets/d/1arpJoJSlKHkJ-Zn4sJxqp3okt8tUTIYCnkob2xnYiCU/edit?usp=sharing"",""Jan 2026!$A:$AK""),37,0)+vlookup(A6,importrange(""https://docs.google.com/spreadsheets/d/1arpJoJSlKHkJ-Zn4sJxqp3okt8tUTIYCnko"&amp;"b2xnYiCU/edit?usp=sharing"",""Feb 2026!$A:$AK""),37,0)+vlookup(A6,importrange(""https://docs.google.com/spreadsheets/d/1arpJoJSlKHkJ-Zn4sJxqp3okt8tUTIYCnkob2xnYiCU/edit?usp=sharing"",""Mar 2026!$A:$AK""),37,0)+vlookup(A6,importrange(""https://docs.google."&amp;"com/spreadsheets/d/1arpJoJSlKHkJ-Zn4sJxqp3okt8tUTIYCnkob2xnYiCU/edit?usp=sharing"",""Apr 2026!$A:$AK""),37,0)+vlookup(A6,importrange(""https://docs.google.com/spreadsheets/d/1arpJoJSlKHkJ-Zn4sJxqp3okt8tUTIYCnkob2xnYiCU/edit?usp=sharing"",""May 2026!$A:$AK"&amp;"""),37,0)+vlookup(A6,importrange(""https://docs.google.com/spreadsheets/d/1arpJoJSlKHkJ-Zn4sJxqp3okt8tUTIYCnkob2xnYiCU/edit?usp=sharing"",""June 2026!$A:$AK""),37,0)+vlookup(A6,importrange(""https://docs.google.com/spreadsheets/d/1arpJoJSlKHkJ-Zn4sJxqp3ok"&amp;"t8tUTIYCnkob2xnYiCU/edit?usp=sharing"",""Current Month!$A:$AK""),37,0)"),0)</f>
        <v>0</v>
      </c>
      <c r="F6" s="7">
        <f t="shared" ca="1" si="0"/>
        <v>3</v>
      </c>
      <c r="G6" s="7">
        <f ca="1">IFERROR(__xludf.DUMMYFUNCTION("vlookup(A6,importrange(""https://docs.google.com/spreadsheets/d/1arpJoJSlKHkJ-Zn4sJxqp3okt8tUTIYCnkob2xnYiCU/edit?usp=sharing"",""Jan 2026!$A:$AN""),40,0)+vlookup(A6,importrange(""https://docs.google.com/spreadsheets/d/1arpJoJSlKHkJ-Zn4sJxqp3okt8tUTIYCnko"&amp;"b2xnYiCU/edit?usp=sharing"",""Feb 2026!$A:$AN""),40,0)+vlookup(A6,importrange(""https://docs.google.com/spreadsheets/d/1arpJoJSlKHkJ-Zn4sJxqp3okt8tUTIYCnkob2xnYiCU/edit?usp=sharing"",""Mar 2026!$A:$AN""),40,0)+vlookup(A6,importrange(""https://docs.google."&amp;"com/spreadsheets/d/1arpJoJSlKHkJ-Zn4sJxqp3okt8tUTIYCnkob2xnYiCU/edit?usp=sharing"",""Apr 2026!$A:$AN""),40,0)+vlookup(A6,importrange(""https://docs.google.com/spreadsheets/d/1arpJoJSlKHkJ-Zn4sJxqp3okt8tUTIYCnkob2xnYiCU/edit?usp=sharing"",""May 2026!$A:$AN"&amp;"""),40,0)+vlookup(A6,importrange(""https://docs.google.com/spreadsheets/d/1arpJoJSlKHkJ-Zn4sJxqp3okt8tUTIYCnkob2xnYiCU/edit?usp=sharing"",""June 2026!$A:$AN""),40,0)+vlookup(A6,importrange(""https://docs.google.com/spreadsheets/d/1arpJoJSlKHkJ-Zn4sJxqp3ok"&amp;"t8tUTIYCnkob2xnYiCU/edit?usp=sharing"",""Current Month!$A:$AN""),40,0)"),1)</f>
        <v>1</v>
      </c>
      <c r="H6" s="7">
        <v>12</v>
      </c>
      <c r="I6" s="8">
        <f t="shared" ca="1" si="1"/>
        <v>10</v>
      </c>
      <c r="J6" s="7">
        <f ca="1">IFERROR(__xludf.DUMMYFUNCTION("vlookup(A6,importrange(""https://docs.google.com/spreadsheets/d/1arpJoJSlKHkJ-Zn4sJxqp3okt8tUTIYCnkob2xnYiCU/edit?usp=sharing"",""Jan 2026!$A:$AP""),41,0)+vlookup(A6,importrange(""https://docs.google.com/spreadsheets/d/1arpJoJSlKHkJ-Zn4sJxqp3okt8tUTIYCnko"&amp;"b2xnYiCU/edit?usp=sharing"",""Feb 2026!$A:$AP""),41,0)+vlookup(A6,importrange(""https://docs.google.com/spreadsheets/d/1arpJoJSlKHkJ-Zn4sJxqp3okt8tUTIYCnkob2xnYiCU/edit?usp=sharing"",""Mar 2026!$A:$AP""),41,0)+vlookup(A6,importrange(""https://docs.google."&amp;"com/spreadsheets/d/1arpJoJSlKHkJ-Zn4sJxqp3okt8tUTIYCnkob2xnYiCU/edit?usp=sharing"",""Current Month!$A:$AP""),41,0)"),24)</f>
        <v>24</v>
      </c>
      <c r="K6" s="9">
        <f ca="1">IFERROR(__xludf.DUMMYFUNCTION("J6/((vlookup(A6,importrange(""https://docs.google.com/spreadsheets/d/1arpJoJSlKHkJ-Zn4sJxqp3okt8tUTIYCnkob2xnYiCU/edit?usp=sharing"",""Jan 2026!$A:$AG""),33,0))+(vlookup(A6,importrange(""https://docs.google.com/spreadsheets/d/1arpJoJSlKHkJ-Zn4sJxqp3okt8tU"&amp;"TIYCnkob2xnYiCU/edit?usp=sharing"",""Feb 2026!$A:$AG""),33,0))+(vlookup(A6,importrange(""https://docs.google.com/spreadsheets/d/1arpJoJSlKHkJ-Zn4sJxqp3okt8tUTIYCnkob2xnYiCU/edit?usp=sharing"",""Mar 2026!$A:$AG""),33,0))+(vlookup(A6,importrange(""https://d"&amp;"ocs.google.com/spreadsheets/d/1arpJoJSlKHkJ-Zn4sJxqp3okt8tUTIYCnkob2xnYiCU/edit?usp=sharing"",""Apr 2026!$A:$AG""),33,0))+(vlookup(A6,importrange(""https://docs.google.com/spreadsheets/d/1arpJoJSlKHkJ-Zn4sJxqp3okt8tUTIYCnkob2xnYiCU/edit?usp=sharing"",""Cu"&amp;"rrent Month!$A:$AG""),33,0)))"),0.25531914893617)</f>
        <v>0.25531914893617003</v>
      </c>
      <c r="L6" s="7">
        <f ca="1">IFERROR(__xludf.DUMMYFUNCTION("vlookup(A6,importrange(""https://docs.google.com/spreadsheets/d/1arpJoJSlKHkJ-Zn4sJxqp3okt8tUTIYCnkob2xnYiCU/edit?usp=sharing"",""Current Month!$A:$AP""),42,0)+vlookup(A6,importrange(""https://docs.google.com/spreadsheets/d/1arpJoJSlKHkJ-Zn4sJxqp3okt8tUTI"&amp;"YCnkob2xnYiCU/edit?usp=sharing"",""Jan 2026!$A:$AP""),42,0)+vlookup(A6,importrange(""https://docs.google.com/spreadsheets/d/1arpJoJSlKHkJ-Zn4sJxqp3okt8tUTIYCnkob2xnYiCU/edit?usp=sharing"",""Feb 2026!$A:$AP""),42,0)+vlookup(A6,importrange(""https://docs.go"&amp;"ogle.com/spreadsheets/d/1arpJoJSlKHkJ-Zn4sJxqp3okt8tUTIYCnkob2xnYiCU/edit?usp=sharing"",""Mar 2026!$A:$AP""),42,0)+vlookup(A6,importrange(""https://docs.google.com/spreadsheets/d/1arpJoJSlKHkJ-Zn4sJxqp3okt8tUTIYCnkob2xnYiCU/edit?usp=sharing"",""Apr 2026!$"&amp;"A:$AP""),42,0)"),10)</f>
        <v>10</v>
      </c>
    </row>
    <row r="7" spans="1:12" ht="14.5" x14ac:dyDescent="0.35">
      <c r="A7" s="6" t="s">
        <v>16</v>
      </c>
      <c r="B7" s="7">
        <f ca="1">IFERROR(__xludf.DUMMYFUNCTION("vlookup(A7,importrange(""https://docs.google.com/spreadsheets/d/1arpJoJSlKHkJ-Zn4sJxqp3okt8tUTIYCnkob2xnYiCU/edit?usp=sharing"",""Jan 2026!$A:$AH""),34,0)+vlookup(A7,importrange(""https://docs.google.com/spreadsheets/d/1arpJoJSlKHkJ-Zn4sJxqp3okt8tUTIYCnko"&amp;"b2xnYiCU/edit?usp=sharing"",""Feb 2026!$A:$AH""),34,0)+vlookup(A7,importrange(""https://docs.google.com/spreadsheets/d/1arpJoJSlKHkJ-Zn4sJxqp3okt8tUTIYCnkob2xnYiCU/edit?usp=sharing"",""Mar 2026!$A:$AH""),34,0)+vlookup(A7,importrange(""https://docs.google."&amp;"com/spreadsheets/d/1arpJoJSlKHkJ-Zn4sJxqp3okt8tUTIYCnkob2xnYiCU/edit?usp=sharing"",""Apr 2026!$A:$AH""),34,0)+vlookup(A7,importrange(""https://docs.google.com/spreadsheets/d/1arpJoJSlKHkJ-Zn4sJxqp3okt8tUTIYCnkob2xnYiCU/edit?usp=sharing"",""May 2026!$A:$AH"&amp;"""),34,0)+vlookup(A7,importrange(""https://docs.google.com/spreadsheets/d/1arpJoJSlKHkJ-Zn4sJxqp3okt8tUTIYCnkob2xnYiCU/edit?usp=sharing"",""June 2026!$A:$AH""),34,0)+vlookup(A7,importrange(""https://docs.google.com/spreadsheets/d/1arpJoJSlKHkJ-Zn4sJxqp3ok"&amp;"t8tUTIYCnkob2xnYiCU/edit?usp=sharing"",""Current Month!$A:$AH""),34,0)"),7)</f>
        <v>7</v>
      </c>
      <c r="C7" s="7">
        <f ca="1">IFERROR(__xludf.DUMMYFUNCTION("vlookup(A7,importrange(""https://docs.google.com/spreadsheets/d/1arpJoJSlKHkJ-Zn4sJxqp3okt8tUTIYCnkob2xnYiCU/edit?usp=sharing"",""Jan 2026!$A:$AI""),35,0)+vlookup(A7,importrange(""https://docs.google.com/spreadsheets/d/1arpJoJSlKHkJ-Zn4sJxqp3okt8tUTIYCnko"&amp;"b2xnYiCU/edit?usp=sharing"",""Feb 2026!$A:$AI""),35,0)+vlookup(A7,importrange(""https://docs.google.com/spreadsheets/d/1arpJoJSlKHkJ-Zn4sJxqp3okt8tUTIYCnkob2xnYiCU/edit?usp=sharing"",""Mar 2026!$A:$AI""),35,0)+vlookup(A7,importrange(""https://docs.google."&amp;"com/spreadsheets/d/1arpJoJSlKHkJ-Zn4sJxqp3okt8tUTIYCnkob2xnYiCU/edit?usp=sharing"",""Apr 2026!$A:$AI""),35,0)+vlookup(A7,importrange(""https://docs.google.com/spreadsheets/d/1arpJoJSlKHkJ-Zn4sJxqp3okt8tUTIYCnkob2xnYiCU/edit?usp=sharing"",""May 2026!$A:$AI"&amp;"""),35,0)+vlookup(A7,importrange(""https://docs.google.com/spreadsheets/d/1arpJoJSlKHkJ-Zn4sJxqp3okt8tUTIYCnkob2xnYiCU/edit?usp=sharing"",""June 2026!$A:$AI""),35,0)+vlookup(A7,importrange(""https://docs.google.com/spreadsheets/d/1arpJoJSlKHkJ-Zn4sJxqp3ok"&amp;"t8tUTIYCnkob2xnYiCU/edit?usp=sharing"",""Current Month!$A:$AI""),35,0)"),2)</f>
        <v>2</v>
      </c>
      <c r="D7" s="7">
        <f ca="1">IFERROR(__xludf.DUMMYFUNCTION("vlookup(A7,importrange(""https://docs.google.com/spreadsheets/d/1arpJoJSlKHkJ-Zn4sJxqp3okt8tUTIYCnkob2xnYiCU/edit?usp=sharing"",""Jan 2026!$A:$AJ""),36,0)+vlookup(A7,importrange(""https://docs.google.com/spreadsheets/d/1arpJoJSlKHkJ-Zn4sJxqp3okt8tUTIYCnko"&amp;"b2xnYiCU/edit?usp=sharing"",""Feb 2026!$A:$AJ""),36,0)+vlookup(A7,importrange(""https://docs.google.com/spreadsheets/d/1arpJoJSlKHkJ-Zn4sJxqp3okt8tUTIYCnkob2xnYiCU/edit?usp=sharing"",""Mar 2026!$A:$AJ""),36,0)+vlookup(A7,importrange(""https://docs.google."&amp;"com/spreadsheets/d/1arpJoJSlKHkJ-Zn4sJxqp3okt8tUTIYCnkob2xnYiCU/edit?usp=sharing"",""Apr 2026!$A:$AJ""),36,0)+vlookup(A7,importrange(""https://docs.google.com/spreadsheets/d/1arpJoJSlKHkJ-Zn4sJxqp3okt8tUTIYCnkob2xnYiCU/edit?usp=sharing"",""May 2026!$A:$AJ"&amp;"""),36,0)+vlookup(A7,importrange(""https://docs.google.com/spreadsheets/d/1arpJoJSlKHkJ-Zn4sJxqp3okt8tUTIYCnkob2xnYiCU/edit?usp=sharing"",""June 2026!$A:$AJ""),36,0)+vlookup(A7,importrange(""https://docs.google.com/spreadsheets/d/1arpJoJSlKHkJ-Zn4sJxqp3ok"&amp;"t8tUTIYCnkob2xnYiCU/edit?usp=sharing"",""Current Month!$A:$AJ""),36,0)"),0)</f>
        <v>0</v>
      </c>
      <c r="E7" s="7">
        <f ca="1">IFERROR(__xludf.DUMMYFUNCTION("vlookup(A7,importrange(""https://docs.google.com/spreadsheets/d/1arpJoJSlKHkJ-Zn4sJxqp3okt8tUTIYCnkob2xnYiCU/edit?usp=sharing"",""Jan 2026!$A:$AK""),37,0)+vlookup(A7,importrange(""https://docs.google.com/spreadsheets/d/1arpJoJSlKHkJ-Zn4sJxqp3okt8tUTIYCnko"&amp;"b2xnYiCU/edit?usp=sharing"",""Feb 2026!$A:$AK""),37,0)+vlookup(A7,importrange(""https://docs.google.com/spreadsheets/d/1arpJoJSlKHkJ-Zn4sJxqp3okt8tUTIYCnkob2xnYiCU/edit?usp=sharing"",""Mar 2026!$A:$AK""),37,0)+vlookup(A7,importrange(""https://docs.google."&amp;"com/spreadsheets/d/1arpJoJSlKHkJ-Zn4sJxqp3okt8tUTIYCnkob2xnYiCU/edit?usp=sharing"",""Apr 2026!$A:$AK""),37,0)+vlookup(A7,importrange(""https://docs.google.com/spreadsheets/d/1arpJoJSlKHkJ-Zn4sJxqp3okt8tUTIYCnkob2xnYiCU/edit?usp=sharing"",""May 2026!$A:$AK"&amp;"""),37,0)+vlookup(A7,importrange(""https://docs.google.com/spreadsheets/d/1arpJoJSlKHkJ-Zn4sJxqp3okt8tUTIYCnkob2xnYiCU/edit?usp=sharing"",""June 2026!$A:$AK""),37,0)+vlookup(A7,importrange(""https://docs.google.com/spreadsheets/d/1arpJoJSlKHkJ-Zn4sJxqp3ok"&amp;"t8tUTIYCnkob2xnYiCU/edit?usp=sharing"",""Current Month!$A:$AK""),37,0)"),0)</f>
        <v>0</v>
      </c>
      <c r="F7" s="7">
        <f t="shared" ca="1" si="0"/>
        <v>1</v>
      </c>
      <c r="G7" s="7">
        <f ca="1">IFERROR(__xludf.DUMMYFUNCTION("vlookup(A7,importrange(""https://docs.google.com/spreadsheets/d/1arpJoJSlKHkJ-Zn4sJxqp3okt8tUTIYCnkob2xnYiCU/edit?usp=sharing"",""Jan 2026!$A:$AN""),40,0)+vlookup(A7,importrange(""https://docs.google.com/spreadsheets/d/1arpJoJSlKHkJ-Zn4sJxqp3okt8tUTIYCnko"&amp;"b2xnYiCU/edit?usp=sharing"",""Feb 2026!$A:$AN""),40,0)+vlookup(A7,importrange(""https://docs.google.com/spreadsheets/d/1arpJoJSlKHkJ-Zn4sJxqp3okt8tUTIYCnkob2xnYiCU/edit?usp=sharing"",""Mar 2026!$A:$AN""),40,0)+vlookup(A7,importrange(""https://docs.google."&amp;"com/spreadsheets/d/1arpJoJSlKHkJ-Zn4sJxqp3okt8tUTIYCnkob2xnYiCU/edit?usp=sharing"",""Apr 2026!$A:$AN""),40,0)+vlookup(A7,importrange(""https://docs.google.com/spreadsheets/d/1arpJoJSlKHkJ-Zn4sJxqp3okt8tUTIYCnkob2xnYiCU/edit?usp=sharing"",""May 2026!$A:$AN"&amp;"""),40,0)+vlookup(A7,importrange(""https://docs.google.com/spreadsheets/d/1arpJoJSlKHkJ-Zn4sJxqp3okt8tUTIYCnkob2xnYiCU/edit?usp=sharing"",""June 2026!$A:$AN""),40,0)+vlookup(A7,importrange(""https://docs.google.com/spreadsheets/d/1arpJoJSlKHkJ-Zn4sJxqp3ok"&amp;"t8tUTIYCnkob2xnYiCU/edit?usp=sharing"",""Current Month!$A:$AN""),40,0)"),3)</f>
        <v>3</v>
      </c>
      <c r="H7" s="7">
        <v>12</v>
      </c>
      <c r="I7" s="8">
        <f t="shared" ca="1" si="1"/>
        <v>12</v>
      </c>
      <c r="J7" s="7">
        <f ca="1">IFERROR(__xludf.DUMMYFUNCTION("vlookup(A7,importrange(""https://docs.google.com/spreadsheets/d/1arpJoJSlKHkJ-Zn4sJxqp3okt8tUTIYCnkob2xnYiCU/edit?usp=sharing"",""Jan 2026!$A:$AP""),41,0)+vlookup(A7,importrange(""https://docs.google.com/spreadsheets/d/1arpJoJSlKHkJ-Zn4sJxqp3okt8tUTIYCnko"&amp;"b2xnYiCU/edit?usp=sharing"",""Feb 2026!$A:$AP""),41,0)+vlookup(A7,importrange(""https://docs.google.com/spreadsheets/d/1arpJoJSlKHkJ-Zn4sJxqp3okt8tUTIYCnkob2xnYiCU/edit?usp=sharing"",""Mar 2026!$A:$AP""),41,0)+vlookup(A7,importrange(""https://docs.google."&amp;"com/spreadsheets/d/1arpJoJSlKHkJ-Zn4sJxqp3okt8tUTIYCnkob2xnYiCU/edit?usp=sharing"",""Current Month!$A:$AP""),41,0)"),9)</f>
        <v>9</v>
      </c>
      <c r="K7" s="9">
        <f ca="1">IFERROR(__xludf.DUMMYFUNCTION("J7/((vlookup(A7,importrange(""https://docs.google.com/spreadsheets/d/1arpJoJSlKHkJ-Zn4sJxqp3okt8tUTIYCnkob2xnYiCU/edit?usp=sharing"",""Jan 2026!$A:$AG""),33,0))+(vlookup(A7,importrange(""https://docs.google.com/spreadsheets/d/1arpJoJSlKHkJ-Zn4sJxqp3okt8tU"&amp;"TIYCnkob2xnYiCU/edit?usp=sharing"",""Feb 2026!$A:$AG""),33,0))+(vlookup(A7,importrange(""https://docs.google.com/spreadsheets/d/1arpJoJSlKHkJ-Zn4sJxqp3okt8tUTIYCnkob2xnYiCU/edit?usp=sharing"",""Mar 2026!$A:$AG""),33,0))+(vlookup(A7,importrange(""https://d"&amp;"ocs.google.com/spreadsheets/d/1arpJoJSlKHkJ-Zn4sJxqp3okt8tUTIYCnkob2xnYiCU/edit?usp=sharing"",""Apr 2026!$A:$AG""),33,0))+(vlookup(A7,importrange(""https://docs.google.com/spreadsheets/d/1arpJoJSlKHkJ-Zn4sJxqp3okt8tUTIYCnkob2xnYiCU/edit?usp=sharing"",""Cu"&amp;"rrent Month!$A:$AG""),33,0)))"),0.0967741935483871)</f>
        <v>9.6774193548387094E-2</v>
      </c>
      <c r="L7" s="7">
        <f ca="1">IFERROR(__xludf.DUMMYFUNCTION("vlookup(A7,importrange(""https://docs.google.com/spreadsheets/d/1arpJoJSlKHkJ-Zn4sJxqp3okt8tUTIYCnkob2xnYiCU/edit?usp=sharing"",""Current Month!$A:$AP""),42,0)+vlookup(A7,importrange(""https://docs.google.com/spreadsheets/d/1arpJoJSlKHkJ-Zn4sJxqp3okt8tUTI"&amp;"YCnkob2xnYiCU/edit?usp=sharing"",""Jan 2026!$A:$AP""),42,0)+vlookup(A7,importrange(""https://docs.google.com/spreadsheets/d/1arpJoJSlKHkJ-Zn4sJxqp3okt8tUTIYCnkob2xnYiCU/edit?usp=sharing"",""Feb 2026!$A:$AP""),42,0)+vlookup(A7,importrange(""https://docs.go"&amp;"ogle.com/spreadsheets/d/1arpJoJSlKHkJ-Zn4sJxqp3okt8tUTIYCnkob2xnYiCU/edit?usp=sharing"",""Mar 2026!$A:$AP""),42,0)+vlookup(A7,importrange(""https://docs.google.com/spreadsheets/d/1arpJoJSlKHkJ-Zn4sJxqp3okt8tUTIYCnkob2xnYiCU/edit?usp=sharing"",""Apr 2026!$"&amp;"A:$AP""),42,0)"),1)</f>
        <v>1</v>
      </c>
    </row>
    <row r="8" spans="1:12" ht="14.5" x14ac:dyDescent="0.35">
      <c r="A8" s="6" t="s">
        <v>17</v>
      </c>
      <c r="B8" s="7">
        <f ca="1">IFERROR(__xludf.DUMMYFUNCTION("vlookup(A8,importrange(""https://docs.google.com/spreadsheets/d/1arpJoJSlKHkJ-Zn4sJxqp3okt8tUTIYCnkob2xnYiCU/edit?usp=sharing"",""Jan 2026!$A:$AH""),34,0)+vlookup(A8,importrange(""https://docs.google.com/spreadsheets/d/1arpJoJSlKHkJ-Zn4sJxqp3okt8tUTIYCnko"&amp;"b2xnYiCU/edit?usp=sharing"",""Feb 2026!$A:$AH""),34,0)+vlookup(A8,importrange(""https://docs.google.com/spreadsheets/d/1arpJoJSlKHkJ-Zn4sJxqp3okt8tUTIYCnkob2xnYiCU/edit?usp=sharing"",""Mar 2026!$A:$AH""),34,0)+vlookup(A8,importrange(""https://docs.google."&amp;"com/spreadsheets/d/1arpJoJSlKHkJ-Zn4sJxqp3okt8tUTIYCnkob2xnYiCU/edit?usp=sharing"",""Apr 2026!$A:$AH""),34,0)+vlookup(A8,importrange(""https://docs.google.com/spreadsheets/d/1arpJoJSlKHkJ-Zn4sJxqp3okt8tUTIYCnkob2xnYiCU/edit?usp=sharing"",""May 2026!$A:$AH"&amp;"""),34,0)+vlookup(A8,importrange(""https://docs.google.com/spreadsheets/d/1arpJoJSlKHkJ-Zn4sJxqp3okt8tUTIYCnkob2xnYiCU/edit?usp=sharing"",""June 2026!$A:$AH""),34,0)+vlookup(A8,importrange(""https://docs.google.com/spreadsheets/d/1arpJoJSlKHkJ-Zn4sJxqp3ok"&amp;"t8tUTIYCnkob2xnYiCU/edit?usp=sharing"",""Current Month!$A:$AH""),34,0)"),8)</f>
        <v>8</v>
      </c>
      <c r="C8" s="7">
        <f ca="1">IFERROR(__xludf.DUMMYFUNCTION("vlookup(A8,importrange(""https://docs.google.com/spreadsheets/d/1arpJoJSlKHkJ-Zn4sJxqp3okt8tUTIYCnkob2xnYiCU/edit?usp=sharing"",""Jan 2026!$A:$AI""),35,0)+vlookup(A8,importrange(""https://docs.google.com/spreadsheets/d/1arpJoJSlKHkJ-Zn4sJxqp3okt8tUTIYCnko"&amp;"b2xnYiCU/edit?usp=sharing"",""Feb 2026!$A:$AI""),35,0)+vlookup(A8,importrange(""https://docs.google.com/spreadsheets/d/1arpJoJSlKHkJ-Zn4sJxqp3okt8tUTIYCnkob2xnYiCU/edit?usp=sharing"",""Mar 2026!$A:$AI""),35,0)+vlookup(A8,importrange(""https://docs.google."&amp;"com/spreadsheets/d/1arpJoJSlKHkJ-Zn4sJxqp3okt8tUTIYCnkob2xnYiCU/edit?usp=sharing"",""Apr 2026!$A:$AI""),35,0)+vlookup(A8,importrange(""https://docs.google.com/spreadsheets/d/1arpJoJSlKHkJ-Zn4sJxqp3okt8tUTIYCnkob2xnYiCU/edit?usp=sharing"",""May 2026!$A:$AI"&amp;"""),35,0)+vlookup(A8,importrange(""https://docs.google.com/spreadsheets/d/1arpJoJSlKHkJ-Zn4sJxqp3okt8tUTIYCnkob2xnYiCU/edit?usp=sharing"",""June 2026!$A:$AI""),35,0)+vlookup(A8,importrange(""https://docs.google.com/spreadsheets/d/1arpJoJSlKHkJ-Zn4sJxqp3ok"&amp;"t8tUTIYCnkob2xnYiCU/edit?usp=sharing"",""Current Month!$A:$AI""),35,0)"),7)</f>
        <v>7</v>
      </c>
      <c r="D8" s="7">
        <f ca="1">IFERROR(__xludf.DUMMYFUNCTION("vlookup(A8,importrange(""https://docs.google.com/spreadsheets/d/1arpJoJSlKHkJ-Zn4sJxqp3okt8tUTIYCnkob2xnYiCU/edit?usp=sharing"",""Jan 2026!$A:$AJ""),36,0)+vlookup(A8,importrange(""https://docs.google.com/spreadsheets/d/1arpJoJSlKHkJ-Zn4sJxqp3okt8tUTIYCnko"&amp;"b2xnYiCU/edit?usp=sharing"",""Feb 2026!$A:$AJ""),36,0)+vlookup(A8,importrange(""https://docs.google.com/spreadsheets/d/1arpJoJSlKHkJ-Zn4sJxqp3okt8tUTIYCnkob2xnYiCU/edit?usp=sharing"",""Mar 2026!$A:$AJ""),36,0)+vlookup(A8,importrange(""https://docs.google."&amp;"com/spreadsheets/d/1arpJoJSlKHkJ-Zn4sJxqp3okt8tUTIYCnkob2xnYiCU/edit?usp=sharing"",""Apr 2026!$A:$AJ""),36,0)+vlookup(A8,importrange(""https://docs.google.com/spreadsheets/d/1arpJoJSlKHkJ-Zn4sJxqp3okt8tUTIYCnkob2xnYiCU/edit?usp=sharing"",""May 2026!$A:$AJ"&amp;"""),36,0)+vlookup(A8,importrange(""https://docs.google.com/spreadsheets/d/1arpJoJSlKHkJ-Zn4sJxqp3okt8tUTIYCnkob2xnYiCU/edit?usp=sharing"",""June 2026!$A:$AJ""),36,0)+vlookup(A8,importrange(""https://docs.google.com/spreadsheets/d/1arpJoJSlKHkJ-Zn4sJxqp3ok"&amp;"t8tUTIYCnkob2xnYiCU/edit?usp=sharing"",""Current Month!$A:$AJ""),36,0)"),0)</f>
        <v>0</v>
      </c>
      <c r="E8" s="7">
        <f ca="1">IFERROR(__xludf.DUMMYFUNCTION("vlookup(A8,importrange(""https://docs.google.com/spreadsheets/d/1arpJoJSlKHkJ-Zn4sJxqp3okt8tUTIYCnkob2xnYiCU/edit?usp=sharing"",""Jan 2026!$A:$AK""),37,0)+vlookup(A8,importrange(""https://docs.google.com/spreadsheets/d/1arpJoJSlKHkJ-Zn4sJxqp3okt8tUTIYCnko"&amp;"b2xnYiCU/edit?usp=sharing"",""Feb 2026!$A:$AK""),37,0)+vlookup(A8,importrange(""https://docs.google.com/spreadsheets/d/1arpJoJSlKHkJ-Zn4sJxqp3okt8tUTIYCnkob2xnYiCU/edit?usp=sharing"",""Mar 2026!$A:$AK""),37,0)+vlookup(A8,importrange(""https://docs.google."&amp;"com/spreadsheets/d/1arpJoJSlKHkJ-Zn4sJxqp3okt8tUTIYCnkob2xnYiCU/edit?usp=sharing"",""Apr 2026!$A:$AK""),37,0)+vlookup(A8,importrange(""https://docs.google.com/spreadsheets/d/1arpJoJSlKHkJ-Zn4sJxqp3okt8tUTIYCnkob2xnYiCU/edit?usp=sharing"",""May 2026!$A:$AK"&amp;"""),37,0)+vlookup(A8,importrange(""https://docs.google.com/spreadsheets/d/1arpJoJSlKHkJ-Zn4sJxqp3okt8tUTIYCnkob2xnYiCU/edit?usp=sharing"",""June 2026!$A:$AK""),37,0)+vlookup(A8,importrange(""https://docs.google.com/spreadsheets/d/1arpJoJSlKHkJ-Zn4sJxqp3ok"&amp;"t8tUTIYCnkob2xnYiCU/edit?usp=sharing"",""Current Month!$A:$AK""),37,0)"),0)</f>
        <v>0</v>
      </c>
      <c r="F8" s="7">
        <f t="shared" ca="1" si="0"/>
        <v>4</v>
      </c>
      <c r="G8" s="7">
        <f ca="1">IFERROR(__xludf.DUMMYFUNCTION("vlookup(A8,importrange(""https://docs.google.com/spreadsheets/d/1arpJoJSlKHkJ-Zn4sJxqp3okt8tUTIYCnkob2xnYiCU/edit?usp=sharing"",""Jan 2026!$A:$AN""),40,0)+vlookup(A8,importrange(""https://docs.google.com/spreadsheets/d/1arpJoJSlKHkJ-Zn4sJxqp3okt8tUTIYCnko"&amp;"b2xnYiCU/edit?usp=sharing"",""Feb 2026!$A:$AN""),40,0)+vlookup(A8,importrange(""https://docs.google.com/spreadsheets/d/1arpJoJSlKHkJ-Zn4sJxqp3okt8tUTIYCnkob2xnYiCU/edit?usp=sharing"",""Mar 2026!$A:$AN""),40,0)+vlookup(A8,importrange(""https://docs.google."&amp;"com/spreadsheets/d/1arpJoJSlKHkJ-Zn4sJxqp3okt8tUTIYCnkob2xnYiCU/edit?usp=sharing"",""Apr 2026!$A:$AN""),40,0)+vlookup(A8,importrange(""https://docs.google.com/spreadsheets/d/1arpJoJSlKHkJ-Zn4sJxqp3okt8tUTIYCnkob2xnYiCU/edit?usp=sharing"",""May 2026!$A:$AN"&amp;"""),40,0)+vlookup(A8,importrange(""https://docs.google.com/spreadsheets/d/1arpJoJSlKHkJ-Zn4sJxqp3okt8tUTIYCnkob2xnYiCU/edit?usp=sharing"",""June 2026!$A:$AN""),40,0)+vlookup(A8,importrange(""https://docs.google.com/spreadsheets/d/1arpJoJSlKHkJ-Zn4sJxqp3ok"&amp;"t8tUTIYCnkob2xnYiCU/edit?usp=sharing"",""Current Month!$A:$AN""),40,0)"),0)</f>
        <v>0</v>
      </c>
      <c r="H8" s="7">
        <v>12</v>
      </c>
      <c r="I8" s="8">
        <f t="shared" ca="1" si="1"/>
        <v>6</v>
      </c>
      <c r="J8" s="7">
        <f ca="1">IFERROR(__xludf.DUMMYFUNCTION("vlookup(A8,importrange(""https://docs.google.com/spreadsheets/d/1arpJoJSlKHkJ-Zn4sJxqp3okt8tUTIYCnkob2xnYiCU/edit?usp=sharing"",""Jan 2026!$A:$AP""),41,0)+vlookup(A8,importrange(""https://docs.google.com/spreadsheets/d/1arpJoJSlKHkJ-Zn4sJxqp3okt8tUTIYCnko"&amp;"b2xnYiCU/edit?usp=sharing"",""Feb 2026!$A:$AP""),41,0)+vlookup(A8,importrange(""https://docs.google.com/spreadsheets/d/1arpJoJSlKHkJ-Zn4sJxqp3okt8tUTIYCnkob2xnYiCU/edit?usp=sharing"",""Mar 2026!$A:$AP""),41,0)+vlookup(A8,importrange(""https://docs.google."&amp;"com/spreadsheets/d/1arpJoJSlKHkJ-Zn4sJxqp3okt8tUTIYCnkob2xnYiCU/edit?usp=sharing"",""Current Month!$A:$AP""),41,0)"),20)</f>
        <v>20</v>
      </c>
      <c r="K8" s="9">
        <f ca="1">IFERROR(__xludf.DUMMYFUNCTION("J8/((vlookup(A8,importrange(""https://docs.google.com/spreadsheets/d/1arpJoJSlKHkJ-Zn4sJxqp3okt8tUTIYCnkob2xnYiCU/edit?usp=sharing"",""Jan 2026!$A:$AG""),33,0))+(vlookup(A8,importrange(""https://docs.google.com/spreadsheets/d/1arpJoJSlKHkJ-Zn4sJxqp3okt8tU"&amp;"TIYCnkob2xnYiCU/edit?usp=sharing"",""Feb 2026!$A:$AG""),33,0))+(vlookup(A8,importrange(""https://docs.google.com/spreadsheets/d/1arpJoJSlKHkJ-Zn4sJxqp3okt8tUTIYCnkob2xnYiCU/edit?usp=sharing"",""Mar 2026!$A:$AG""),33,0))+(vlookup(A8,importrange(""https://d"&amp;"ocs.google.com/spreadsheets/d/1arpJoJSlKHkJ-Zn4sJxqp3okt8tUTIYCnkob2xnYiCU/edit?usp=sharing"",""Apr 2026!$A:$AG""),33,0))+(vlookup(A8,importrange(""https://docs.google.com/spreadsheets/d/1arpJoJSlKHkJ-Zn4sJxqp3okt8tUTIYCnkob2xnYiCU/edit?usp=sharing"",""Cu"&amp;"rrent Month!$A:$AG""),33,0)))"),0.227272727272727)</f>
        <v>0.22727272727272699</v>
      </c>
      <c r="L8" s="7">
        <f ca="1">IFERROR(__xludf.DUMMYFUNCTION("vlookup(A8,importrange(""https://docs.google.com/spreadsheets/d/1arpJoJSlKHkJ-Zn4sJxqp3okt8tUTIYCnkob2xnYiCU/edit?usp=sharing"",""Current Month!$A:$AP""),42,0)+vlookup(A8,importrange(""https://docs.google.com/spreadsheets/d/1arpJoJSlKHkJ-Zn4sJxqp3okt8tUTI"&amp;"YCnkob2xnYiCU/edit?usp=sharing"",""Jan 2026!$A:$AP""),42,0)+vlookup(A8,importrange(""https://docs.google.com/spreadsheets/d/1arpJoJSlKHkJ-Zn4sJxqp3okt8tUTIYCnkob2xnYiCU/edit?usp=sharing"",""Feb 2026!$A:$AP""),42,0)+vlookup(A8,importrange(""https://docs.go"&amp;"ogle.com/spreadsheets/d/1arpJoJSlKHkJ-Zn4sJxqp3okt8tUTIYCnkob2xnYiCU/edit?usp=sharing"",""Mar 2026!$A:$AP""),42,0)+vlookup(A8,importrange(""https://docs.google.com/spreadsheets/d/1arpJoJSlKHkJ-Zn4sJxqp3okt8tUTIYCnkob2xnYiCU/edit?usp=sharing"",""Apr 2026!$"&amp;"A:$AP""),42,0)"),2)</f>
        <v>2</v>
      </c>
    </row>
    <row r="9" spans="1:12" ht="14.5" x14ac:dyDescent="0.35">
      <c r="A9" s="10" t="s">
        <v>18</v>
      </c>
      <c r="B9" s="7">
        <f ca="1">IFERROR(__xludf.DUMMYFUNCTION("vlookup(A9,importrange(""https://docs.google.com/spreadsheets/d/1arpJoJSlKHkJ-Zn4sJxqp3okt8tUTIYCnkob2xnYiCU/edit?usp=sharing"",""Jan 2026!$A:$AH""),34,0)+vlookup(A9,importrange(""https://docs.google.com/spreadsheets/d/1arpJoJSlKHkJ-Zn4sJxqp3okt8tUTIYCnko"&amp;"b2xnYiCU/edit?usp=sharing"",""Feb 2026!$A:$AH""),34,0)+vlookup(A9,importrange(""https://docs.google.com/spreadsheets/d/1arpJoJSlKHkJ-Zn4sJxqp3okt8tUTIYCnkob2xnYiCU/edit?usp=sharing"",""Mar 2026!$A:$AH""),34,0)+vlookup(A9,importrange(""https://docs.google."&amp;"com/spreadsheets/d/1arpJoJSlKHkJ-Zn4sJxqp3okt8tUTIYCnkob2xnYiCU/edit?usp=sharing"",""Apr 2026!$A:$AH""),34,0)+vlookup(A9,importrange(""https://docs.google.com/spreadsheets/d/1arpJoJSlKHkJ-Zn4sJxqp3okt8tUTIYCnkob2xnYiCU/edit?usp=sharing"",""May 2026!$A:$AH"&amp;"""),34,0)+vlookup(A9,importrange(""https://docs.google.com/spreadsheets/d/1arpJoJSlKHkJ-Zn4sJxqp3okt8tUTIYCnkob2xnYiCU/edit?usp=sharing"",""June 2026!$A:$AH""),34,0)+vlookup(A9,importrange(""https://docs.google.com/spreadsheets/d/1arpJoJSlKHkJ-Zn4sJxqp3ok"&amp;"t8tUTIYCnkob2xnYiCU/edit?usp=sharing"",""Current Month!$A:$AH""),34,0)"),13)</f>
        <v>13</v>
      </c>
      <c r="C9" s="7">
        <f ca="1">IFERROR(__xludf.DUMMYFUNCTION("vlookup(A9,importrange(""https://docs.google.com/spreadsheets/d/1arpJoJSlKHkJ-Zn4sJxqp3okt8tUTIYCnkob2xnYiCU/edit?usp=sharing"",""Jan 2026!$A:$AI""),35,0)+vlookup(A9,importrange(""https://docs.google.com/spreadsheets/d/1arpJoJSlKHkJ-Zn4sJxqp3okt8tUTIYCnko"&amp;"b2xnYiCU/edit?usp=sharing"",""Feb 2026!$A:$AI""),35,0)+vlookup(A9,importrange(""https://docs.google.com/spreadsheets/d/1arpJoJSlKHkJ-Zn4sJxqp3okt8tUTIYCnkob2xnYiCU/edit?usp=sharing"",""Mar 2026!$A:$AI""),35,0)+vlookup(A9,importrange(""https://docs.google."&amp;"com/spreadsheets/d/1arpJoJSlKHkJ-Zn4sJxqp3okt8tUTIYCnkob2xnYiCU/edit?usp=sharing"",""Apr 2026!$A:$AI""),35,0)+vlookup(A9,importrange(""https://docs.google.com/spreadsheets/d/1arpJoJSlKHkJ-Zn4sJxqp3okt8tUTIYCnkob2xnYiCU/edit?usp=sharing"",""May 2026!$A:$AI"&amp;"""),35,0)+vlookup(A9,importrange(""https://docs.google.com/spreadsheets/d/1arpJoJSlKHkJ-Zn4sJxqp3okt8tUTIYCnkob2xnYiCU/edit?usp=sharing"",""June 2026!$A:$AI""),35,0)+vlookup(A9,importrange(""https://docs.google.com/spreadsheets/d/1arpJoJSlKHkJ-Zn4sJxqp3ok"&amp;"t8tUTIYCnkob2xnYiCU/edit?usp=sharing"",""Current Month!$A:$AI""),35,0)"),4)</f>
        <v>4</v>
      </c>
      <c r="D9" s="7">
        <f ca="1">IFERROR(__xludf.DUMMYFUNCTION("vlookup(A9,importrange(""https://docs.google.com/spreadsheets/d/1arpJoJSlKHkJ-Zn4sJxqp3okt8tUTIYCnkob2xnYiCU/edit?usp=sharing"",""Jan 2026!$A:$AJ""),36,0)+vlookup(A9,importrange(""https://docs.google.com/spreadsheets/d/1arpJoJSlKHkJ-Zn4sJxqp3okt8tUTIYCnko"&amp;"b2xnYiCU/edit?usp=sharing"",""Feb 2026!$A:$AJ""),36,0)+vlookup(A9,importrange(""https://docs.google.com/spreadsheets/d/1arpJoJSlKHkJ-Zn4sJxqp3okt8tUTIYCnkob2xnYiCU/edit?usp=sharing"",""Mar 2026!$A:$AJ""),36,0)+vlookup(A9,importrange(""https://docs.google."&amp;"com/spreadsheets/d/1arpJoJSlKHkJ-Zn4sJxqp3okt8tUTIYCnkob2xnYiCU/edit?usp=sharing"",""Apr 2026!$A:$AJ""),36,0)+vlookup(A9,importrange(""https://docs.google.com/spreadsheets/d/1arpJoJSlKHkJ-Zn4sJxqp3okt8tUTIYCnkob2xnYiCU/edit?usp=sharing"",""May 2026!$A:$AJ"&amp;"""),36,0)+vlookup(A9,importrange(""https://docs.google.com/spreadsheets/d/1arpJoJSlKHkJ-Zn4sJxqp3okt8tUTIYCnkob2xnYiCU/edit?usp=sharing"",""June 2026!$A:$AJ""),36,0)+vlookup(A9,importrange(""https://docs.google.com/spreadsheets/d/1arpJoJSlKHkJ-Zn4sJxqp3ok"&amp;"t8tUTIYCnkob2xnYiCU/edit?usp=sharing"",""Current Month!$A:$AJ""),36,0)"),0)</f>
        <v>0</v>
      </c>
      <c r="E9" s="7">
        <f ca="1">IFERROR(__xludf.DUMMYFUNCTION("vlookup(A9,importrange(""https://docs.google.com/spreadsheets/d/1arpJoJSlKHkJ-Zn4sJxqp3okt8tUTIYCnkob2xnYiCU/edit?usp=sharing"",""Jan 2026!$A:$AK""),37,0)+vlookup(A9,importrange(""https://docs.google.com/spreadsheets/d/1arpJoJSlKHkJ-Zn4sJxqp3okt8tUTIYCnko"&amp;"b2xnYiCU/edit?usp=sharing"",""Feb 2026!$A:$AK""),37,0)+vlookup(A9,importrange(""https://docs.google.com/spreadsheets/d/1arpJoJSlKHkJ-Zn4sJxqp3okt8tUTIYCnkob2xnYiCU/edit?usp=sharing"",""Mar 2026!$A:$AK""),37,0)+vlookup(A9,importrange(""https://docs.google."&amp;"com/spreadsheets/d/1arpJoJSlKHkJ-Zn4sJxqp3okt8tUTIYCnkob2xnYiCU/edit?usp=sharing"",""Apr 2026!$A:$AK""),37,0)+vlookup(A9,importrange(""https://docs.google.com/spreadsheets/d/1arpJoJSlKHkJ-Zn4sJxqp3okt8tUTIYCnkob2xnYiCU/edit?usp=sharing"",""May 2026!$A:$AK"&amp;"""),37,0)+vlookup(A9,importrange(""https://docs.google.com/spreadsheets/d/1arpJoJSlKHkJ-Zn4sJxqp3okt8tUTIYCnkob2xnYiCU/edit?usp=sharing"",""June 2026!$A:$AK""),37,0)+vlookup(A9,importrange(""https://docs.google.com/spreadsheets/d/1arpJoJSlKHkJ-Zn4sJxqp3ok"&amp;"t8tUTIYCnkob2xnYiCU/edit?usp=sharing"",""Current Month!$A:$AK""),37,0)"),0)</f>
        <v>0</v>
      </c>
      <c r="F9" s="7">
        <f t="shared" ca="1" si="0"/>
        <v>2</v>
      </c>
      <c r="G9" s="7">
        <f ca="1">IFERROR(__xludf.DUMMYFUNCTION("vlookup(A9,importrange(""https://docs.google.com/spreadsheets/d/1arpJoJSlKHkJ-Zn4sJxqp3okt8tUTIYCnkob2xnYiCU/edit?usp=sharing"",""Jan 2026!$A:$AN""),40,0)+vlookup(A9,importrange(""https://docs.google.com/spreadsheets/d/1arpJoJSlKHkJ-Zn4sJxqp3okt8tUTIYCnko"&amp;"b2xnYiCU/edit?usp=sharing"",""Feb 2026!$A:$AN""),40,0)+vlookup(A9,importrange(""https://docs.google.com/spreadsheets/d/1arpJoJSlKHkJ-Zn4sJxqp3okt8tUTIYCnkob2xnYiCU/edit?usp=sharing"",""Mar 2026!$A:$AN""),40,0)+vlookup(A9,importrange(""https://docs.google."&amp;"com/spreadsheets/d/1arpJoJSlKHkJ-Zn4sJxqp3okt8tUTIYCnkob2xnYiCU/edit?usp=sharing"",""Apr 2026!$A:$AN""),40,0)+vlookup(A9,importrange(""https://docs.google.com/spreadsheets/d/1arpJoJSlKHkJ-Zn4sJxqp3okt8tUTIYCnkob2xnYiCU/edit?usp=sharing"",""May 2026!$A:$AN"&amp;"""),40,0)+vlookup(A9,importrange(""https://docs.google.com/spreadsheets/d/1arpJoJSlKHkJ-Zn4sJxqp3okt8tUTIYCnkob2xnYiCU/edit?usp=sharing"",""June 2026!$A:$AN""),40,0)+vlookup(A9,importrange(""https://docs.google.com/spreadsheets/d/1arpJoJSlKHkJ-Zn4sJxqp3ok"&amp;"t8tUTIYCnkob2xnYiCU/edit?usp=sharing"",""Current Month!$A:$AN""),40,0)"),2)</f>
        <v>2</v>
      </c>
      <c r="H9" s="7">
        <v>12</v>
      </c>
      <c r="I9" s="8">
        <f t="shared" ca="1" si="1"/>
        <v>4</v>
      </c>
      <c r="J9" s="7">
        <f ca="1">IFERROR(__xludf.DUMMYFUNCTION("vlookup(A9,importrange(""https://docs.google.com/spreadsheets/d/1arpJoJSlKHkJ-Zn4sJxqp3okt8tUTIYCnkob2xnYiCU/edit?usp=sharing"",""Jan 2026!$A:$AP""),41,0)+vlookup(A9,importrange(""https://docs.google.com/spreadsheets/d/1arpJoJSlKHkJ-Zn4sJxqp3okt8tUTIYCnko"&amp;"b2xnYiCU/edit?usp=sharing"",""Feb 2026!$A:$AP""),41,0)+vlookup(A9,importrange(""https://docs.google.com/spreadsheets/d/1arpJoJSlKHkJ-Zn4sJxqp3okt8tUTIYCnkob2xnYiCU/edit?usp=sharing"",""Mar 2026!$A:$AP""),41,0)+vlookup(A9,importrange(""https://docs.google."&amp;"com/spreadsheets/d/1arpJoJSlKHkJ-Zn4sJxqp3okt8tUTIYCnkob2xnYiCU/edit?usp=sharing"",""Current Month!$A:$AP""),41,0)"),18)</f>
        <v>18</v>
      </c>
      <c r="K9" s="9">
        <f ca="1">IFERROR(__xludf.DUMMYFUNCTION("J9/((vlookup(A9,importrange(""https://docs.google.com/spreadsheets/d/1arpJoJSlKHkJ-Zn4sJxqp3okt8tUTIYCnkob2xnYiCU/edit?usp=sharing"",""Jan 2026!$A:$AG""),33,0))+(vlookup(A9,importrange(""https://docs.google.com/spreadsheets/d/1arpJoJSlKHkJ-Zn4sJxqp3okt8tU"&amp;"TIYCnkob2xnYiCU/edit?usp=sharing"",""Feb 2026!$A:$AG""),33,0))+(vlookup(A9,importrange(""https://docs.google.com/spreadsheets/d/1arpJoJSlKHkJ-Zn4sJxqp3okt8tUTIYCnkob2xnYiCU/edit?usp=sharing"",""Mar 2026!$A:$AG""),33,0))+(vlookup(A9,importrange(""https://d"&amp;"ocs.google.com/spreadsheets/d/1arpJoJSlKHkJ-Zn4sJxqp3okt8tUTIYCnkob2xnYiCU/edit?usp=sharing"",""Apr 2026!$A:$AG""),33,0))+(vlookup(A9,importrange(""https://docs.google.com/spreadsheets/d/1arpJoJSlKHkJ-Zn4sJxqp3okt8tUTIYCnkob2xnYiCU/edit?usp=sharing"",""Cu"&amp;"rrent Month!$A:$AG""),33,0)))"),0.216867469879518)</f>
        <v>0.21686746987951799</v>
      </c>
      <c r="L9" s="7">
        <f ca="1">IFERROR(__xludf.DUMMYFUNCTION("vlookup(A9,importrange(""https://docs.google.com/spreadsheets/d/1arpJoJSlKHkJ-Zn4sJxqp3okt8tUTIYCnkob2xnYiCU/edit?usp=sharing"",""Current Month!$A:$AP""),42,0)+vlookup(A9,importrange(""https://docs.google.com/spreadsheets/d/1arpJoJSlKHkJ-Zn4sJxqp3okt8tUTI"&amp;"YCnkob2xnYiCU/edit?usp=sharing"",""Jan 2026!$A:$AP""),42,0)+vlookup(A9,importrange(""https://docs.google.com/spreadsheets/d/1arpJoJSlKHkJ-Zn4sJxqp3okt8tUTIYCnkob2xnYiCU/edit?usp=sharing"",""Feb 2026!$A:$AP""),42,0)+vlookup(A9,importrange(""https://docs.go"&amp;"ogle.com/spreadsheets/d/1arpJoJSlKHkJ-Zn4sJxqp3okt8tUTIYCnkob2xnYiCU/edit?usp=sharing"",""Mar 2026!$A:$AP""),42,0)+vlookup(A9,importrange(""https://docs.google.com/spreadsheets/d/1arpJoJSlKHkJ-Zn4sJxqp3okt8tUTIYCnkob2xnYiCU/edit?usp=sharing"",""Apr 2026!$"&amp;"A:$AP""),42,0)"),3)</f>
        <v>3</v>
      </c>
    </row>
    <row r="10" spans="1:12" ht="14.5" x14ac:dyDescent="0.35">
      <c r="A10" s="6" t="s">
        <v>19</v>
      </c>
      <c r="B10" s="7">
        <f ca="1">IFERROR(__xludf.DUMMYFUNCTION("vlookup(A11,importrange(""https://docs.google.com/spreadsheets/d/1arpJoJSlKHkJ-Zn4sJxqp3okt8tUTIYCnkob2xnYiCU/edit?usp=sharing"",""Jan 2026!$A:$AH""),34,0)+vlookup(A11,importrange(""https://docs.google.com/spreadsheets/d/1arpJoJSlKHkJ-Zn4sJxqp3okt8tUTIYCn"&amp;"kob2xnYiCU/edit?usp=sharing"",""Feb 2026!$A:$AH""),34,0)+vlookup(A11,importrange(""https://docs.google.com/spreadsheets/d/1arpJoJSlKHkJ-Zn4sJxqp3okt8tUTIYCnkob2xnYiCU/edit?usp=sharing"",""Mar 2026!$A:$AH""),34,0)+vlookup(A11,importrange(""https://docs.goo"&amp;"gle.com/spreadsheets/d/1arpJoJSlKHkJ-Zn4sJxqp3okt8tUTIYCnkob2xnYiCU/edit?usp=sharing"",""Apr 2026!$A:$AH""),34,0)+vlookup(A11,importrange(""https://docs.google.com/spreadsheets/d/1arpJoJSlKHkJ-Zn4sJxqp3okt8tUTIYCnkob2xnYiCU/edit?usp=sharing"",""May 2026!$"&amp;"A:$AH""),34,0)+vlookup(A11,importrange(""https://docs.google.com/spreadsheets/d/1arpJoJSlKHkJ-Zn4sJxqp3okt8tUTIYCnkob2xnYiCU/edit?usp=sharing"",""June 2026!$A:$AH""),34,0)+vlookup(A11,importrange(""https://docs.google.com/spreadsheets/d/1arpJoJSlKHkJ-Zn4s"&amp;"Jxqp3okt8tUTIYCnkob2xnYiCU/edit?usp=sharing"",""Current Month!$A:$AH""),34,0)"),5)</f>
        <v>5</v>
      </c>
      <c r="C10" s="7">
        <f ca="1">IFERROR(__xludf.DUMMYFUNCTION("vlookup(A11,importrange(""https://docs.google.com/spreadsheets/d/1arpJoJSlKHkJ-Zn4sJxqp3okt8tUTIYCnkob2xnYiCU/edit?usp=sharing"",""Jan 2026!$A:$AI""),35,0)+vlookup(A11,importrange(""https://docs.google.com/spreadsheets/d/1arpJoJSlKHkJ-Zn4sJxqp3okt8tUTIYCn"&amp;"kob2xnYiCU/edit?usp=sharing"",""Feb 2026!$A:$AI""),35,0)+vlookup(A11,importrange(""https://docs.google.com/spreadsheets/d/1arpJoJSlKHkJ-Zn4sJxqp3okt8tUTIYCnkob2xnYiCU/edit?usp=sharing"",""Mar 2026!$A:$AI""),35,0)+vlookup(A11,importrange(""https://docs.goo"&amp;"gle.com/spreadsheets/d/1arpJoJSlKHkJ-Zn4sJxqp3okt8tUTIYCnkob2xnYiCU/edit?usp=sharing"",""Apr 2026!$A:$AI""),35,0)+vlookup(A11,importrange(""https://docs.google.com/spreadsheets/d/1arpJoJSlKHkJ-Zn4sJxqp3okt8tUTIYCnkob2xnYiCU/edit?usp=sharing"",""May 2026!$"&amp;"A:$AI""),35,0)+vlookup(A11,importrange(""https://docs.google.com/spreadsheets/d/1arpJoJSlKHkJ-Zn4sJxqp3okt8tUTIYCnkob2xnYiCU/edit?usp=sharing"",""June 2026!$A:$AI""),35,0)+vlookup(A11,importrange(""https://docs.google.com/spreadsheets/d/1arpJoJSlKHkJ-Zn4s"&amp;"Jxqp3okt8tUTIYCnkob2xnYiCU/edit?usp=sharing"",""Current Month!$A:$AI""),35,0)"),7.5)</f>
        <v>7.5</v>
      </c>
      <c r="D10" s="7">
        <f ca="1">IFERROR(__xludf.DUMMYFUNCTION("vlookup(A11,importrange(""https://docs.google.com/spreadsheets/d/1arpJoJSlKHkJ-Zn4sJxqp3okt8tUTIYCnkob2xnYiCU/edit?usp=sharing"",""Jan 2026!$A:$AJ""),36,0)+vlookup(A11,importrange(""https://docs.google.com/spreadsheets/d/1arpJoJSlKHkJ-Zn4sJxqp3okt8tUTIYCn"&amp;"kob2xnYiCU/edit?usp=sharing"",""Feb 2026!$A:$AJ""),36,0)+vlookup(A11,importrange(""https://docs.google.com/spreadsheets/d/1arpJoJSlKHkJ-Zn4sJxqp3okt8tUTIYCnkob2xnYiCU/edit?usp=sharing"",""Mar 2026!$A:$AJ""),36,0)+vlookup(A11,importrange(""https://docs.goo"&amp;"gle.com/spreadsheets/d/1arpJoJSlKHkJ-Zn4sJxqp3okt8tUTIYCnkob2xnYiCU/edit?usp=sharing"",""Apr 2026!$A:$AJ""),36,0)+vlookup(A11,importrange(""https://docs.google.com/spreadsheets/d/1arpJoJSlKHkJ-Zn4sJxqp3okt8tUTIYCnkob2xnYiCU/edit?usp=sharing"",""May 2026!$"&amp;"A:$AJ""),36,0)+vlookup(A11,importrange(""https://docs.google.com/spreadsheets/d/1arpJoJSlKHkJ-Zn4sJxqp3okt8tUTIYCnkob2xnYiCU/edit?usp=sharing"",""June 2026!$A:$AJ""),36,0)+vlookup(A11,importrange(""https://docs.google.com/spreadsheets/d/1arpJoJSlKHkJ-Zn4s"&amp;"Jxqp3okt8tUTIYCnkob2xnYiCU/edit?usp=sharing"",""Current Month!$A:$AJ""),36,0)"),0)</f>
        <v>0</v>
      </c>
      <c r="E10" s="7">
        <f ca="1">IFERROR(__xludf.DUMMYFUNCTION("vlookup(A11,importrange(""https://docs.google.com/spreadsheets/d/1arpJoJSlKHkJ-Zn4sJxqp3okt8tUTIYCnkob2xnYiCU/edit?usp=sharing"",""Jan 2026!$A:$AK""),37,0)+vlookup(A11,importrange(""https://docs.google.com/spreadsheets/d/1arpJoJSlKHkJ-Zn4sJxqp3okt8tUTIYCn"&amp;"kob2xnYiCU/edit?usp=sharing"",""Feb 2026!$A:$AK""),37,0)+vlookup(A11,importrange(""https://docs.google.com/spreadsheets/d/1arpJoJSlKHkJ-Zn4sJxqp3okt8tUTIYCnkob2xnYiCU/edit?usp=sharing"",""Mar 2026!$A:$AK""),37,0)+vlookup(A11,importrange(""https://docs.goo"&amp;"gle.com/spreadsheets/d/1arpJoJSlKHkJ-Zn4sJxqp3okt8tUTIYCnkob2xnYiCU/edit?usp=sharing"",""Apr 2026!$A:$AK""),37,0)+vlookup(A11,importrange(""https://docs.google.com/spreadsheets/d/1arpJoJSlKHkJ-Zn4sJxqp3okt8tUTIYCnkob2xnYiCU/edit?usp=sharing"",""May 2026!$"&amp;"A:$AK""),37,0)+vlookup(A11,importrange(""https://docs.google.com/spreadsheets/d/1arpJoJSlKHkJ-Zn4sJxqp3okt8tUTIYCnkob2xnYiCU/edit?usp=sharing"",""June 2026!$A:$AK""),37,0)+vlookup(A11,importrange(""https://docs.google.com/spreadsheets/d/1arpJoJSlKHkJ-Zn4s"&amp;"Jxqp3okt8tUTIYCnkob2xnYiCU/edit?usp=sharing"",""Current Month!$A:$AK""),37,0)"),0)</f>
        <v>0</v>
      </c>
      <c r="F10" s="7">
        <f t="shared" ca="1" si="0"/>
        <v>4</v>
      </c>
      <c r="G10" s="7">
        <f ca="1">IFERROR(__xludf.DUMMYFUNCTION("vlookup(A11,importrange(""https://docs.google.com/spreadsheets/d/1arpJoJSlKHkJ-Zn4sJxqp3okt8tUTIYCnkob2xnYiCU/edit?usp=sharing"",""Jan 2026!$A:$AN""),40,0)+vlookup(A11,importrange(""https://docs.google.com/spreadsheets/d/1arpJoJSlKHkJ-Zn4sJxqp3okt8tUTIYCn"&amp;"kob2xnYiCU/edit?usp=sharing"",""Feb 2026!$A:$AN""),40,0)+vlookup(A11,importrange(""https://docs.google.com/spreadsheets/d/1arpJoJSlKHkJ-Zn4sJxqp3okt8tUTIYCnkob2xnYiCU/edit?usp=sharing"",""Mar 2026!$A:$AN""),40,0)+vlookup(A11,importrange(""https://docs.goo"&amp;"gle.com/spreadsheets/d/1arpJoJSlKHkJ-Zn4sJxqp3okt8tUTIYCnkob2xnYiCU/edit?usp=sharing"",""Apr 2026!$A:$AN""),40,0)+vlookup(A11,importrange(""https://docs.google.com/spreadsheets/d/1arpJoJSlKHkJ-Zn4sJxqp3okt8tUTIYCnkob2xnYiCU/edit?usp=sharing"",""May 2026!$"&amp;"A:$AN""),40,0)+vlookup(A11,importrange(""https://docs.google.com/spreadsheets/d/1arpJoJSlKHkJ-Zn4sJxqp3okt8tUTIYCnkob2xnYiCU/edit?usp=sharing"",""June 2026!$A:$AN""),40,0)+vlookup(A11,importrange(""https://docs.google.com/spreadsheets/d/1arpJoJSlKHkJ-Zn4s"&amp;"Jxqp3okt8tUTIYCnkob2xnYiCU/edit?usp=sharing"",""Current Month!$A:$AN""),40,0)"),0)</f>
        <v>0</v>
      </c>
      <c r="H10" s="7">
        <v>12</v>
      </c>
      <c r="I10" s="8">
        <f t="shared" ca="1" si="1"/>
        <v>8.5</v>
      </c>
      <c r="J10" s="7">
        <f ca="1">IFERROR(__xludf.DUMMYFUNCTION("vlookup(A11,importrange(""https://docs.google.com/spreadsheets/d/1arpJoJSlKHkJ-Zn4sJxqp3okt8tUTIYCnkob2xnYiCU/edit?usp=sharing"",""Jan 2026!$A:$AP""),41,0)+vlookup(A11,importrange(""https://docs.google.com/spreadsheets/d/1arpJoJSlKHkJ-Zn4sJxqp3okt8tUTIYCn"&amp;"kob2xnYiCU/edit?usp=sharing"",""Feb 2026!$A:$AP""),41,0)+vlookup(A11,importrange(""https://docs.google.com/spreadsheets/d/1arpJoJSlKHkJ-Zn4sJxqp3okt8tUTIYCnkob2xnYiCU/edit?usp=sharing"",""Mar 2026!$A:$AP""),41,0)+vlookup(A11,importrange(""https://docs.goo"&amp;"gle.com/spreadsheets/d/1arpJoJSlKHkJ-Zn4sJxqp3okt8tUTIYCnkob2xnYiCU/edit?usp=sharing"",""Current Month!$A:$AP""),41,0)"),25)</f>
        <v>25</v>
      </c>
      <c r="K10" s="9">
        <f ca="1">IFERROR(__xludf.DUMMYFUNCTION("J11/((vlookup(A11,importrange(""https://docs.google.com/spreadsheets/d/1arpJoJSlKHkJ-Zn4sJxqp3okt8tUTIYCnkob2xnYiCU/edit?usp=sharing"",""Jan 2026!$A:$AG""),33,0))+(vlookup(A11,importrange(""https://docs.google.com/spreadsheets/d/1arpJoJSlKHkJ-Zn4sJxqp3okt"&amp;"8tUTIYCnkob2xnYiCU/edit?usp=sharing"",""Feb 2026!$A:$AG""),33,0))+(vlookup(A11,importrange(""https://docs.google.com/spreadsheets/d/1arpJoJSlKHkJ-Zn4sJxqp3okt8tUTIYCnkob2xnYiCU/edit?usp=sharing"",""Mar 2026!$A:$AG""),33,0))+(vlookup(A11,importrange(""http"&amp;"s://docs.google.com/spreadsheets/d/1arpJoJSlKHkJ-Zn4sJxqp3okt8tUTIYCnkob2xnYiCU/edit?usp=sharing"",""Apr 2026!$A:$AG""),33,0))+(vlookup(A11,importrange(""https://docs.google.com/spreadsheets/d/1arpJoJSlKHkJ-Zn4sJxqp3okt8tUTIYCnkob2xnYiCU/edit?usp=sharing"&amp;""",""Current Month!$A:$AG""),33,0)))"),0.280898876404494)</f>
        <v>0.28089887640449401</v>
      </c>
      <c r="L10" s="7">
        <f ca="1">IFERROR(__xludf.DUMMYFUNCTION("vlookup(A11,importrange(""https://docs.google.com/spreadsheets/d/1arpJoJSlKHkJ-Zn4sJxqp3okt8tUTIYCnkob2xnYiCU/edit?usp=sharing"",""Current Month!$A:$AP""),42,0)+vlookup(A11,importrange(""https://docs.google.com/spreadsheets/d/1arpJoJSlKHkJ-Zn4sJxqp3okt8tU"&amp;"TIYCnkob2xnYiCU/edit?usp=sharing"",""Jan 2026!$A:$AP""),42,0)+vlookup(A11,importrange(""https://docs.google.com/spreadsheets/d/1arpJoJSlKHkJ-Zn4sJxqp3okt8tUTIYCnkob2xnYiCU/edit?usp=sharing"",""Feb 2026!$A:$AP""),42,0)+vlookup(A11,importrange(""https://doc"&amp;"s.google.com/spreadsheets/d/1arpJoJSlKHkJ-Zn4sJxqp3okt8tUTIYCnkob2xnYiCU/edit?usp=sharing"",""Mar 2026!$A:$AP""),42,0)+vlookup(A11,importrange(""https://docs.google.com/spreadsheets/d/1arpJoJSlKHkJ-Zn4sJxqp3okt8tUTIYCnkob2xnYiCU/edit?usp=sharing"",""Apr 2"&amp;"026!$A:$AP""),42,0)"),0)</f>
        <v>0</v>
      </c>
    </row>
    <row r="11" spans="1:12" ht="14.5" x14ac:dyDescent="0.35">
      <c r="A11" s="6" t="s">
        <v>20</v>
      </c>
      <c r="B11" s="7">
        <f ca="1">IFERROR(__xludf.DUMMYFUNCTION("vlookup(A12,importrange(""https://docs.google.com/spreadsheets/d/1arpJoJSlKHkJ-Zn4sJxqp3okt8tUTIYCnkob2xnYiCU/edit?usp=sharing"",""Jan 2026!$A:$AH""),34,0)+vlookup(A12,importrange(""https://docs.google.com/spreadsheets/d/1arpJoJSlKHkJ-Zn4sJxqp3okt8tUTIYCn"&amp;"kob2xnYiCU/edit?usp=sharing"",""Feb 2026!$A:$AH""),34,0)+vlookup(A12,importrange(""https://docs.google.com/spreadsheets/d/1arpJoJSlKHkJ-Zn4sJxqp3okt8tUTIYCnkob2xnYiCU/edit?usp=sharing"",""Mar 2026!$A:$AH""),34,0)+vlookup(A12,importrange(""https://docs.goo"&amp;"gle.com/spreadsheets/d/1arpJoJSlKHkJ-Zn4sJxqp3okt8tUTIYCnkob2xnYiCU/edit?usp=sharing"",""Apr 2026!$A:$AH""),34,0)+vlookup(A12,importrange(""https://docs.google.com/spreadsheets/d/1arpJoJSlKHkJ-Zn4sJxqp3okt8tUTIYCnkob2xnYiCU/edit?usp=sharing"",""May 2026!$"&amp;"A:$AH""),34,0)+vlookup(A12,importrange(""https://docs.google.com/spreadsheets/d/1arpJoJSlKHkJ-Zn4sJxqp3okt8tUTIYCnkob2xnYiCU/edit?usp=sharing"",""June 2026!$A:$AH""),34,0)+vlookup(A12,importrange(""https://docs.google.com/spreadsheets/d/1arpJoJSlKHkJ-Zn4s"&amp;"Jxqp3okt8tUTIYCnkob2xnYiCU/edit?usp=sharing"",""Current Month!$A:$AH""),34,0)"),13)</f>
        <v>13</v>
      </c>
      <c r="C11" s="7">
        <f ca="1">IFERROR(__xludf.DUMMYFUNCTION("vlookup(A12,importrange(""https://docs.google.com/spreadsheets/d/1arpJoJSlKHkJ-Zn4sJxqp3okt8tUTIYCnkob2xnYiCU/edit?usp=sharing"",""Jan 2026!$A:$AI""),35,0)+vlookup(A12,importrange(""https://docs.google.com/spreadsheets/d/1arpJoJSlKHkJ-Zn4sJxqp3okt8tUTIYCn"&amp;"kob2xnYiCU/edit?usp=sharing"",""Feb 2026!$A:$AI""),35,0)+vlookup(A12,importrange(""https://docs.google.com/spreadsheets/d/1arpJoJSlKHkJ-Zn4sJxqp3okt8tUTIYCnkob2xnYiCU/edit?usp=sharing"",""Mar 2026!$A:$AI""),35,0)+vlookup(A12,importrange(""https://docs.goo"&amp;"gle.com/spreadsheets/d/1arpJoJSlKHkJ-Zn4sJxqp3okt8tUTIYCnkob2xnYiCU/edit?usp=sharing"",""Apr 2026!$A:$AI""),35,0)+vlookup(A12,importrange(""https://docs.google.com/spreadsheets/d/1arpJoJSlKHkJ-Zn4sJxqp3okt8tUTIYCnkob2xnYiCU/edit?usp=sharing"",""May 2026!$"&amp;"A:$AI""),35,0)+vlookup(A12,importrange(""https://docs.google.com/spreadsheets/d/1arpJoJSlKHkJ-Zn4sJxqp3okt8tUTIYCnkob2xnYiCU/edit?usp=sharing"",""June 2026!$A:$AI""),35,0)+vlookup(A12,importrange(""https://docs.google.com/spreadsheets/d/1arpJoJSlKHkJ-Zn4s"&amp;"Jxqp3okt8tUTIYCnkob2xnYiCU/edit?usp=sharing"",""Current Month!$A:$AI""),35,0)"),2)</f>
        <v>2</v>
      </c>
      <c r="D11" s="7">
        <f ca="1">IFERROR(__xludf.DUMMYFUNCTION("vlookup(A12,importrange(""https://docs.google.com/spreadsheets/d/1arpJoJSlKHkJ-Zn4sJxqp3okt8tUTIYCnkob2xnYiCU/edit?usp=sharing"",""Jan 2026!$A:$AJ""),36,0)+vlookup(A12,importrange(""https://docs.google.com/spreadsheets/d/1arpJoJSlKHkJ-Zn4sJxqp3okt8tUTIYCn"&amp;"kob2xnYiCU/edit?usp=sharing"",""Feb 2026!$A:$AJ""),36,0)+vlookup(A12,importrange(""https://docs.google.com/spreadsheets/d/1arpJoJSlKHkJ-Zn4sJxqp3okt8tUTIYCnkob2xnYiCU/edit?usp=sharing"",""Mar 2026!$A:$AJ""),36,0)+vlookup(A12,importrange(""https://docs.goo"&amp;"gle.com/spreadsheets/d/1arpJoJSlKHkJ-Zn4sJxqp3okt8tUTIYCnkob2xnYiCU/edit?usp=sharing"",""Apr 2026!$A:$AJ""),36,0)+vlookup(A12,importrange(""https://docs.google.com/spreadsheets/d/1arpJoJSlKHkJ-Zn4sJxqp3okt8tUTIYCnkob2xnYiCU/edit?usp=sharing"",""May 2026!$"&amp;"A:$AJ""),36,0)+vlookup(A12,importrange(""https://docs.google.com/spreadsheets/d/1arpJoJSlKHkJ-Zn4sJxqp3okt8tUTIYCnkob2xnYiCU/edit?usp=sharing"",""June 2026!$A:$AJ""),36,0)+vlookup(A12,importrange(""https://docs.google.com/spreadsheets/d/1arpJoJSlKHkJ-Zn4s"&amp;"Jxqp3okt8tUTIYCnkob2xnYiCU/edit?usp=sharing"",""Current Month!$A:$AJ""),36,0)"),0)</f>
        <v>0</v>
      </c>
      <c r="E11" s="7">
        <f ca="1">IFERROR(__xludf.DUMMYFUNCTION("vlookup(A12,importrange(""https://docs.google.com/spreadsheets/d/1arpJoJSlKHkJ-Zn4sJxqp3okt8tUTIYCnkob2xnYiCU/edit?usp=sharing"",""Jan 2026!$A:$AK""),37,0)+vlookup(A12,importrange(""https://docs.google.com/spreadsheets/d/1arpJoJSlKHkJ-Zn4sJxqp3okt8tUTIYCn"&amp;"kob2xnYiCU/edit?usp=sharing"",""Feb 2026!$A:$AK""),37,0)+vlookup(A12,importrange(""https://docs.google.com/spreadsheets/d/1arpJoJSlKHkJ-Zn4sJxqp3okt8tUTIYCnkob2xnYiCU/edit?usp=sharing"",""Mar 2026!$A:$AK""),37,0)+vlookup(A12,importrange(""https://docs.goo"&amp;"gle.com/spreadsheets/d/1arpJoJSlKHkJ-Zn4sJxqp3okt8tUTIYCnkob2xnYiCU/edit?usp=sharing"",""Apr 2026!$A:$AK""),37,0)+vlookup(A12,importrange(""https://docs.google.com/spreadsheets/d/1arpJoJSlKHkJ-Zn4sJxqp3okt8tUTIYCnkob2xnYiCU/edit?usp=sharing"",""May 2026!$"&amp;"A:$AK""),37,0)+vlookup(A12,importrange(""https://docs.google.com/spreadsheets/d/1arpJoJSlKHkJ-Zn4sJxqp3okt8tUTIYCnkob2xnYiCU/edit?usp=sharing"",""June 2026!$A:$AK""),37,0)+vlookup(A12,importrange(""https://docs.google.com/spreadsheets/d/1arpJoJSlKHkJ-Zn4s"&amp;"Jxqp3okt8tUTIYCnkob2xnYiCU/edit?usp=sharing"",""Current Month!$A:$AK""),37,0)"),0)</f>
        <v>0</v>
      </c>
      <c r="F11" s="7">
        <f t="shared" ca="1" si="0"/>
        <v>2</v>
      </c>
      <c r="G11" s="7">
        <f ca="1">IFERROR(__xludf.DUMMYFUNCTION("vlookup(A12,importrange(""https://docs.google.com/spreadsheets/d/1arpJoJSlKHkJ-Zn4sJxqp3okt8tUTIYCnkob2xnYiCU/edit?usp=sharing"",""Jan 2026!$A:$AN""),40,0)+vlookup(A12,importrange(""https://docs.google.com/spreadsheets/d/1arpJoJSlKHkJ-Zn4sJxqp3okt8tUTIYCn"&amp;"kob2xnYiCU/edit?usp=sharing"",""Feb 2026!$A:$AN""),40,0)+vlookup(A12,importrange(""https://docs.google.com/spreadsheets/d/1arpJoJSlKHkJ-Zn4sJxqp3okt8tUTIYCnkob2xnYiCU/edit?usp=sharing"",""Mar 2026!$A:$AN""),40,0)+vlookup(A12,importrange(""https://docs.goo"&amp;"gle.com/spreadsheets/d/1arpJoJSlKHkJ-Zn4sJxqp3okt8tUTIYCnkob2xnYiCU/edit?usp=sharing"",""Apr 2026!$A:$AN""),40,0)+vlookup(A12,importrange(""https://docs.google.com/spreadsheets/d/1arpJoJSlKHkJ-Zn4sJxqp3okt8tUTIYCnkob2xnYiCU/edit?usp=sharing"",""May 2026!$"&amp;"A:$AN""),40,0)+vlookup(A12,importrange(""https://docs.google.com/spreadsheets/d/1arpJoJSlKHkJ-Zn4sJxqp3okt8tUTIYCnkob2xnYiCU/edit?usp=sharing"",""June 2026!$A:$AN""),40,0)+vlookup(A12,importrange(""https://docs.google.com/spreadsheets/d/1arpJoJSlKHkJ-Zn4s"&amp;"Jxqp3okt8tUTIYCnkob2xnYiCU/edit?usp=sharing"",""Current Month!$A:$AN""),40,0)"),2)</f>
        <v>2</v>
      </c>
      <c r="H11" s="7">
        <v>12</v>
      </c>
      <c r="I11" s="8">
        <f t="shared" ca="1" si="1"/>
        <v>6</v>
      </c>
      <c r="J11" s="7">
        <f ca="1">IFERROR(__xludf.DUMMYFUNCTION("vlookup(A12,importrange(""https://docs.google.com/spreadsheets/d/1arpJoJSlKHkJ-Zn4sJxqp3okt8tUTIYCnkob2xnYiCU/edit?usp=sharing"",""Jan 2026!$A:$AP""),41,0)+vlookup(A12,importrange(""https://docs.google.com/spreadsheets/d/1arpJoJSlKHkJ-Zn4sJxqp3okt8tUTIYCn"&amp;"kob2xnYiCU/edit?usp=sharing"",""Feb 2026!$A:$AP""),41,0)+vlookup(A12,importrange(""https://docs.google.com/spreadsheets/d/1arpJoJSlKHkJ-Zn4sJxqp3okt8tUTIYCnkob2xnYiCU/edit?usp=sharing"",""Mar 2026!$A:$AP""),41,0)+vlookup(A12,importrange(""https://docs.goo"&amp;"gle.com/spreadsheets/d/1arpJoJSlKHkJ-Zn4sJxqp3okt8tUTIYCnkob2xnYiCU/edit?usp=sharing"",""Current Month!$A:$AP""),41,0)"),7)</f>
        <v>7</v>
      </c>
      <c r="K11" s="9">
        <f ca="1">IFERROR(__xludf.DUMMYFUNCTION("J12/((vlookup(A12,importrange(""https://docs.google.com/spreadsheets/d/1arpJoJSlKHkJ-Zn4sJxqp3okt8tUTIYCnkob2xnYiCU/edit?usp=sharing"",""Jan 2026!$A:$AG""),33,0))+(vlookup(A12,importrange(""https://docs.google.com/spreadsheets/d/1arpJoJSlKHkJ-Zn4sJxqp3okt"&amp;"8tUTIYCnkob2xnYiCU/edit?usp=sharing"",""Feb 2026!$A:$AG""),33,0))+(vlookup(A12,importrange(""https://docs.google.com/spreadsheets/d/1arpJoJSlKHkJ-Zn4sJxqp3okt8tUTIYCnkob2xnYiCU/edit?usp=sharing"",""Mar 2026!$A:$AG""),33,0))+(vlookup(A12,importrange(""http"&amp;"s://docs.google.com/spreadsheets/d/1arpJoJSlKHkJ-Zn4sJxqp3okt8tUTIYCnkob2xnYiCU/edit?usp=sharing"",""Apr 2026!$A:$AG""),33,0))+(vlookup(A12,importrange(""https://docs.google.com/spreadsheets/d/1arpJoJSlKHkJ-Zn4sJxqp3okt8tUTIYCnkob2xnYiCU/edit?usp=sharing"&amp;""",""Current Month!$A:$AG""),33,0)))"),0.0843373493975903)</f>
        <v>8.43373493975903E-2</v>
      </c>
      <c r="L11" s="7">
        <f ca="1">IFERROR(__xludf.DUMMYFUNCTION("vlookup(A12,importrange(""https://docs.google.com/spreadsheets/d/1arpJoJSlKHkJ-Zn4sJxqp3okt8tUTIYCnkob2xnYiCU/edit?usp=sharing"",""Current Month!$A:$AP""),42,0)+vlookup(A12,importrange(""https://docs.google.com/spreadsheets/d/1arpJoJSlKHkJ-Zn4sJxqp3okt8tU"&amp;"TIYCnkob2xnYiCU/edit?usp=sharing"",""Jan 2026!$A:$AP""),42,0)+vlookup(A12,importrange(""https://docs.google.com/spreadsheets/d/1arpJoJSlKHkJ-Zn4sJxqp3okt8tUTIYCnkob2xnYiCU/edit?usp=sharing"",""Feb 2026!$A:$AP""),42,0)+vlookup(A12,importrange(""https://doc"&amp;"s.google.com/spreadsheets/d/1arpJoJSlKHkJ-Zn4sJxqp3okt8tUTIYCnkob2xnYiCU/edit?usp=sharing"",""Mar 2026!$A:$AP""),42,0)+vlookup(A12,importrange(""https://docs.google.com/spreadsheets/d/1arpJoJSlKHkJ-Zn4sJxqp3okt8tUTIYCnkob2xnYiCU/edit?usp=sharing"",""Apr 2"&amp;"026!$A:$AP""),42,0)"),1)</f>
        <v>1</v>
      </c>
    </row>
    <row r="12" spans="1:12" ht="15.75" customHeight="1" x14ac:dyDescent="0.35">
      <c r="A12" s="6" t="s">
        <v>21</v>
      </c>
      <c r="B12" s="7">
        <f ca="1">IFERROR(__xludf.DUMMYFUNCTION("vlookup(A13,importrange(""https://docs.google.com/spreadsheets/d/1arpJoJSlKHkJ-Zn4sJxqp3okt8tUTIYCnkob2xnYiCU/edit?usp=sharing"",""Jan 2026!$A:$AH""),34,0)+vlookup(A13,importrange(""https://docs.google.com/spreadsheets/d/1arpJoJSlKHkJ-Zn4sJxqp3okt8tUTIYCn"&amp;"kob2xnYiCU/edit?usp=sharing"",""Feb 2026!$A:$AH""),34,0)+vlookup(A13,importrange(""https://docs.google.com/spreadsheets/d/1arpJoJSlKHkJ-Zn4sJxqp3okt8tUTIYCnkob2xnYiCU/edit?usp=sharing"",""Mar 2026!$A:$AH""),34,0)+vlookup(A13,importrange(""https://docs.goo"&amp;"gle.com/spreadsheets/d/1arpJoJSlKHkJ-Zn4sJxqp3okt8tUTIYCnkob2xnYiCU/edit?usp=sharing"",""Apr 2026!$A:$AH""),34,0)+vlookup(A13,importrange(""https://docs.google.com/spreadsheets/d/1arpJoJSlKHkJ-Zn4sJxqp3okt8tUTIYCnkob2xnYiCU/edit?usp=sharing"",""May 2026!$"&amp;"A:$AH""),34,0)+vlookup(A13,importrange(""https://docs.google.com/spreadsheets/d/1arpJoJSlKHkJ-Zn4sJxqp3okt8tUTIYCnkob2xnYiCU/edit?usp=sharing"",""June 2026!$A:$AH""),34,0)+vlookup(A13,importrange(""https://docs.google.com/spreadsheets/d/1arpJoJSlKHkJ-Zn4s"&amp;"Jxqp3okt8tUTIYCnkob2xnYiCU/edit?usp=sharing"",""Current Month!$A:$AH""),34,0)"),0)</f>
        <v>0</v>
      </c>
      <c r="C12" s="7">
        <f ca="1">IFERROR(__xludf.DUMMYFUNCTION("vlookup(A13,importrange(""https://docs.google.com/spreadsheets/d/1arpJoJSlKHkJ-Zn4sJxqp3okt8tUTIYCnkob2xnYiCU/edit?usp=sharing"",""Jan 2026!$A:$AI""),35,0)+vlookup(A13,importrange(""https://docs.google.com/spreadsheets/d/1arpJoJSlKHkJ-Zn4sJxqp3okt8tUTIYCn"&amp;"kob2xnYiCU/edit?usp=sharing"",""Feb 2026!$A:$AI""),35,0)+vlookup(A13,importrange(""https://docs.google.com/spreadsheets/d/1arpJoJSlKHkJ-Zn4sJxqp3okt8tUTIYCnkob2xnYiCU/edit?usp=sharing"",""Mar 2026!$A:$AI""),35,0)+vlookup(A13,importrange(""https://docs.goo"&amp;"gle.com/spreadsheets/d/1arpJoJSlKHkJ-Zn4sJxqp3okt8tUTIYCnkob2xnYiCU/edit?usp=sharing"",""Apr 2026!$A:$AI""),35,0)+vlookup(A13,importrange(""https://docs.google.com/spreadsheets/d/1arpJoJSlKHkJ-Zn4sJxqp3okt8tUTIYCnkob2xnYiCU/edit?usp=sharing"",""May 2026!$"&amp;"A:$AI""),35,0)+vlookup(A13,importrange(""https://docs.google.com/spreadsheets/d/1arpJoJSlKHkJ-Zn4sJxqp3okt8tUTIYCnkob2xnYiCU/edit?usp=sharing"",""June 2026!$A:$AI""),35,0)+vlookup(A13,importrange(""https://docs.google.com/spreadsheets/d/1arpJoJSlKHkJ-Zn4s"&amp;"Jxqp3okt8tUTIYCnkob2xnYiCU/edit?usp=sharing"",""Current Month!$A:$AI""),35,0)"),0)</f>
        <v>0</v>
      </c>
      <c r="D12" s="7">
        <f ca="1">IFERROR(__xludf.DUMMYFUNCTION("vlookup(A13,importrange(""https://docs.google.com/spreadsheets/d/1arpJoJSlKHkJ-Zn4sJxqp3okt8tUTIYCnkob2xnYiCU/edit?usp=sharing"",""Jan 2026!$A:$AJ""),36,0)+vlookup(A13,importrange(""https://docs.google.com/spreadsheets/d/1arpJoJSlKHkJ-Zn4sJxqp3okt8tUTIYCn"&amp;"kob2xnYiCU/edit?usp=sharing"",""Feb 2026!$A:$AJ""),36,0)+vlookup(A13,importrange(""https://docs.google.com/spreadsheets/d/1arpJoJSlKHkJ-Zn4sJxqp3okt8tUTIYCnkob2xnYiCU/edit?usp=sharing"",""Mar 2026!$A:$AJ""),36,0)+vlookup(A13,importrange(""https://docs.goo"&amp;"gle.com/spreadsheets/d/1arpJoJSlKHkJ-Zn4sJxqp3okt8tUTIYCnkob2xnYiCU/edit?usp=sharing"",""Apr 2026!$A:$AJ""),36,0)+vlookup(A13,importrange(""https://docs.google.com/spreadsheets/d/1arpJoJSlKHkJ-Zn4sJxqp3okt8tUTIYCnkob2xnYiCU/edit?usp=sharing"",""May 2026!$"&amp;"A:$AJ""),36,0)+vlookup(A13,importrange(""https://docs.google.com/spreadsheets/d/1arpJoJSlKHkJ-Zn4sJxqp3okt8tUTIYCnkob2xnYiCU/edit?usp=sharing"",""June 2026!$A:$AJ""),36,0)+vlookup(A13,importrange(""https://docs.google.com/spreadsheets/d/1arpJoJSlKHkJ-Zn4s"&amp;"Jxqp3okt8tUTIYCnkob2xnYiCU/edit?usp=sharing"",""Current Month!$A:$AJ""),36,0)"),0)</f>
        <v>0</v>
      </c>
      <c r="E12" s="7">
        <f ca="1">IFERROR(__xludf.DUMMYFUNCTION("vlookup(A13,importrange(""https://docs.google.com/spreadsheets/d/1arpJoJSlKHkJ-Zn4sJxqp3okt8tUTIYCnkob2xnYiCU/edit?usp=sharing"",""Jan 2026!$A:$AK""),37,0)+vlookup(A13,importrange(""https://docs.google.com/spreadsheets/d/1arpJoJSlKHkJ-Zn4sJxqp3okt8tUTIYCn"&amp;"kob2xnYiCU/edit?usp=sharing"",""Feb 2026!$A:$AK""),37,0)+vlookup(A13,importrange(""https://docs.google.com/spreadsheets/d/1arpJoJSlKHkJ-Zn4sJxqp3okt8tUTIYCnkob2xnYiCU/edit?usp=sharing"",""Mar 2026!$A:$AK""),37,0)+vlookup(A13,importrange(""https://docs.goo"&amp;"gle.com/spreadsheets/d/1arpJoJSlKHkJ-Zn4sJxqp3okt8tUTIYCnkob2xnYiCU/edit?usp=sharing"",""Apr 2026!$A:$AK""),37,0)+vlookup(A13,importrange(""https://docs.google.com/spreadsheets/d/1arpJoJSlKHkJ-Zn4sJxqp3okt8tUTIYCnkob2xnYiCU/edit?usp=sharing"",""May 2026!$"&amp;"A:$AK""),37,0)+vlookup(A13,importrange(""https://docs.google.com/spreadsheets/d/1arpJoJSlKHkJ-Zn4sJxqp3okt8tUTIYCnkob2xnYiCU/edit?usp=sharing"",""June 2026!$A:$AK""),37,0)+vlookup(A13,importrange(""https://docs.google.com/spreadsheets/d/1arpJoJSlKHkJ-Zn4s"&amp;"Jxqp3okt8tUTIYCnkob2xnYiCU/edit?usp=sharing"",""Current Month!$A:$AK""),37,0)"),0)</f>
        <v>0</v>
      </c>
      <c r="F12" s="7">
        <f t="shared" ca="1" si="0"/>
        <v>4</v>
      </c>
      <c r="G12" s="7">
        <f ca="1">IFERROR(__xludf.DUMMYFUNCTION("vlookup(A13,importrange(""https://docs.google.com/spreadsheets/d/1arpJoJSlKHkJ-Zn4sJxqp3okt8tUTIYCnkob2xnYiCU/edit?usp=sharing"",""Jan 2026!$A:$AN""),40,0)+vlookup(A13,importrange(""https://docs.google.com/spreadsheets/d/1arpJoJSlKHkJ-Zn4sJxqp3okt8tUTIYCn"&amp;"kob2xnYiCU/edit?usp=sharing"",""Feb 2026!$A:$AN""),40,0)+vlookup(A13,importrange(""https://docs.google.com/spreadsheets/d/1arpJoJSlKHkJ-Zn4sJxqp3okt8tUTIYCnkob2xnYiCU/edit?usp=sharing"",""Mar 2026!$A:$AN""),40,0)+vlookup(A13,importrange(""https://docs.goo"&amp;"gle.com/spreadsheets/d/1arpJoJSlKHkJ-Zn4sJxqp3okt8tUTIYCnkob2xnYiCU/edit?usp=sharing"",""Apr 2026!$A:$AN""),40,0)+vlookup(A13,importrange(""https://docs.google.com/spreadsheets/d/1arpJoJSlKHkJ-Zn4sJxqp3okt8tUTIYCnkob2xnYiCU/edit?usp=sharing"",""May 2026!$"&amp;"A:$AN""),40,0)+vlookup(A13,importrange(""https://docs.google.com/spreadsheets/d/1arpJoJSlKHkJ-Zn4sJxqp3okt8tUTIYCnkob2xnYiCU/edit?usp=sharing"",""June 2026!$A:$AN""),40,0)+vlookup(A13,importrange(""https://docs.google.com/spreadsheets/d/1arpJoJSlKHkJ-Zn4s"&amp;"Jxqp3okt8tUTIYCnkob2xnYiCU/edit?usp=sharing"",""Current Month!$A:$AN""),40,0)"),0)</f>
        <v>0</v>
      </c>
      <c r="H12" s="7">
        <v>12</v>
      </c>
      <c r="I12" s="8">
        <f t="shared" ca="1" si="1"/>
        <v>21</v>
      </c>
      <c r="J12" s="7">
        <f ca="1">IFERROR(__xludf.DUMMYFUNCTION("vlookup(A13,importrange(""https://docs.google.com/spreadsheets/d/1arpJoJSlKHkJ-Zn4sJxqp3okt8tUTIYCnkob2xnYiCU/edit?usp=sharing"",""Jan 2026!$A:$AP""),41,0)+vlookup(A13,importrange(""https://docs.google.com/spreadsheets/d/1arpJoJSlKHkJ-Zn4sJxqp3okt8tUTIYCn"&amp;"kob2xnYiCU/edit?usp=sharing"",""Feb 2026!$A:$AP""),41,0)+vlookup(A13,importrange(""https://docs.google.com/spreadsheets/d/1arpJoJSlKHkJ-Zn4sJxqp3okt8tUTIYCnkob2xnYiCU/edit?usp=sharing"",""Mar 2026!$A:$AP""),41,0)+vlookup(A13,importrange(""https://docs.goo"&amp;"gle.com/spreadsheets/d/1arpJoJSlKHkJ-Zn4sJxqp3okt8tUTIYCnkob2xnYiCU/edit?usp=sharing"",""Current Month!$A:$AP""),41,0)"),0)</f>
        <v>0</v>
      </c>
      <c r="K12" s="9">
        <f ca="1">IFERROR(__xludf.DUMMYFUNCTION("J13/((vlookup(A13,importrange(""https://docs.google.com/spreadsheets/d/1arpJoJSlKHkJ-Zn4sJxqp3okt8tUTIYCnkob2xnYiCU/edit?usp=sharing"",""Jan 2026!$A:$AG""),33,0))+(vlookup(A13,importrange(""https://docs.google.com/spreadsheets/d/1arpJoJSlKHkJ-Zn4sJxqp3okt"&amp;"8tUTIYCnkob2xnYiCU/edit?usp=sharing"",""Feb 2026!$A:$AG""),33,0))+(vlookup(A13,importrange(""https://docs.google.com/spreadsheets/d/1arpJoJSlKHkJ-Zn4sJxqp3okt8tUTIYCnkob2xnYiCU/edit?usp=sharing"",""Mar 2026!$A:$AG""),33,0))+(vlookup(A13,importrange(""http"&amp;"s://docs.google.com/spreadsheets/d/1arpJoJSlKHkJ-Zn4sJxqp3okt8tUTIYCnkob2xnYiCU/edit?usp=sharing"",""Apr 2026!$A:$AG""),33,0))+(vlookup(A13,importrange(""https://docs.google.com/spreadsheets/d/1arpJoJSlKHkJ-Zn4sJxqp3okt8tUTIYCnkob2xnYiCU/edit?usp=sharing"&amp;""",""Current Month!$A:$AG""),33,0)))"),0)</f>
        <v>0</v>
      </c>
      <c r="L12" s="7">
        <f ca="1">IFERROR(__xludf.DUMMYFUNCTION("vlookup(A13,importrange(""https://docs.google.com/spreadsheets/d/1arpJoJSlKHkJ-Zn4sJxqp3okt8tUTIYCnkob2xnYiCU/edit?usp=sharing"",""Current Month!$A:$AP""),42,0)+vlookup(A13,importrange(""https://docs.google.com/spreadsheets/d/1arpJoJSlKHkJ-Zn4sJxqp3okt8tU"&amp;"TIYCnkob2xnYiCU/edit?usp=sharing"",""Jan 2026!$A:$AP""),42,0)+vlookup(A13,importrange(""https://docs.google.com/spreadsheets/d/1arpJoJSlKHkJ-Zn4sJxqp3okt8tUTIYCnkob2xnYiCU/edit?usp=sharing"",""Feb 2026!$A:$AP""),42,0)+vlookup(A13,importrange(""https://doc"&amp;"s.google.com/spreadsheets/d/1arpJoJSlKHkJ-Zn4sJxqp3okt8tUTIYCnkob2xnYiCU/edit?usp=sharing"",""Mar 2026!$A:$AP""),42,0)+vlookup(A13,importrange(""https://docs.google.com/spreadsheets/d/1arpJoJSlKHkJ-Zn4sJxqp3okt8tUTIYCnkob2xnYiCU/edit?usp=sharing"",""Apr 2"&amp;"026!$A:$AP""),42,0)"),26)</f>
        <v>26</v>
      </c>
    </row>
    <row r="13" spans="1:12" ht="14.5" x14ac:dyDescent="0.35">
      <c r="A13" s="6" t="s">
        <v>22</v>
      </c>
      <c r="B13" s="7">
        <f ca="1">IFERROR(__xludf.DUMMYFUNCTION("vlookup(A14,importrange(""https://docs.google.com/spreadsheets/d/1arpJoJSlKHkJ-Zn4sJxqp3okt8tUTIYCnkob2xnYiCU/edit?usp=sharing"",""Jan 2026!$A:$AH""),34,0)+vlookup(A14,importrange(""https://docs.google.com/spreadsheets/d/1arpJoJSlKHkJ-Zn4sJxqp3okt8tUTIYCn"&amp;"kob2xnYiCU/edit?usp=sharing"",""Feb 2026!$A:$AH""),34,0)+vlookup(A14,importrange(""https://docs.google.com/spreadsheets/d/1arpJoJSlKHkJ-Zn4sJxqp3okt8tUTIYCnkob2xnYiCU/edit?usp=sharing"",""Mar 2026!$A:$AH""),34,0)+vlookup(A14,importrange(""https://docs.goo"&amp;"gle.com/spreadsheets/d/1arpJoJSlKHkJ-Zn4sJxqp3okt8tUTIYCnkob2xnYiCU/edit?usp=sharing"",""Apr 2026!$A:$AH""),34,0)+vlookup(A14,importrange(""https://docs.google.com/spreadsheets/d/1arpJoJSlKHkJ-Zn4sJxqp3okt8tUTIYCnkob2xnYiCU/edit?usp=sharing"",""May 2026!$"&amp;"A:$AH""),34,0)+vlookup(A14,importrange(""https://docs.google.com/spreadsheets/d/1arpJoJSlKHkJ-Zn4sJxqp3okt8tUTIYCnkob2xnYiCU/edit?usp=sharing"",""June 2026!$A:$AH""),34,0)+vlookup(A14,importrange(""https://docs.google.com/spreadsheets/d/1arpJoJSlKHkJ-Zn4s"&amp;"Jxqp3okt8tUTIYCnkob2xnYiCU/edit?usp=sharing"",""Current Month!$A:$AH""),34,0)"),4)</f>
        <v>4</v>
      </c>
      <c r="C13" s="7">
        <f ca="1">IFERROR(__xludf.DUMMYFUNCTION("vlookup(A14,importrange(""https://docs.google.com/spreadsheets/d/1arpJoJSlKHkJ-Zn4sJxqp3okt8tUTIYCnkob2xnYiCU/edit?usp=sharing"",""Jan 2026!$A:$AI""),35,0)+vlookup(A14,importrange(""https://docs.google.com/spreadsheets/d/1arpJoJSlKHkJ-Zn4sJxqp3okt8tUTIYCn"&amp;"kob2xnYiCU/edit?usp=sharing"",""Feb 2026!$A:$AI""),35,0)+vlookup(A14,importrange(""https://docs.google.com/spreadsheets/d/1arpJoJSlKHkJ-Zn4sJxqp3okt8tUTIYCnkob2xnYiCU/edit?usp=sharing"",""Mar 2026!$A:$AI""),35,0)+vlookup(A14,importrange(""https://docs.goo"&amp;"gle.com/spreadsheets/d/1arpJoJSlKHkJ-Zn4sJxqp3okt8tUTIYCnkob2xnYiCU/edit?usp=sharing"",""Apr 2026!$A:$AI""),35,0)+vlookup(A14,importrange(""https://docs.google.com/spreadsheets/d/1arpJoJSlKHkJ-Zn4sJxqp3okt8tUTIYCnkob2xnYiCU/edit?usp=sharing"",""May 2026!$"&amp;"A:$AI""),35,0)+vlookup(A14,importrange(""https://docs.google.com/spreadsheets/d/1arpJoJSlKHkJ-Zn4sJxqp3okt8tUTIYCnkob2xnYiCU/edit?usp=sharing"",""June 2026!$A:$AI""),35,0)+vlookup(A14,importrange(""https://docs.google.com/spreadsheets/d/1arpJoJSlKHkJ-Zn4s"&amp;"Jxqp3okt8tUTIYCnkob2xnYiCU/edit?usp=sharing"",""Current Month!$A:$AI""),35,0)"),6.5)</f>
        <v>6.5</v>
      </c>
      <c r="D13" s="7">
        <f ca="1">IFERROR(__xludf.DUMMYFUNCTION("vlookup(A14,importrange(""https://docs.google.com/spreadsheets/d/1arpJoJSlKHkJ-Zn4sJxqp3okt8tUTIYCnkob2xnYiCU/edit?usp=sharing"",""Jan 2026!$A:$AJ""),36,0)+vlookup(A14,importrange(""https://docs.google.com/spreadsheets/d/1arpJoJSlKHkJ-Zn4sJxqp3okt8tUTIYCn"&amp;"kob2xnYiCU/edit?usp=sharing"",""Feb 2026!$A:$AJ""),36,0)+vlookup(A14,importrange(""https://docs.google.com/spreadsheets/d/1arpJoJSlKHkJ-Zn4sJxqp3okt8tUTIYCnkob2xnYiCU/edit?usp=sharing"",""Mar 2026!$A:$AJ""),36,0)+vlookup(A14,importrange(""https://docs.goo"&amp;"gle.com/spreadsheets/d/1arpJoJSlKHkJ-Zn4sJxqp3okt8tUTIYCnkob2xnYiCU/edit?usp=sharing"",""Apr 2026!$A:$AJ""),36,0)+vlookup(A14,importrange(""https://docs.google.com/spreadsheets/d/1arpJoJSlKHkJ-Zn4sJxqp3okt8tUTIYCnkob2xnYiCU/edit?usp=sharing"",""May 2026!$"&amp;"A:$AJ""),36,0)+vlookup(A14,importrange(""https://docs.google.com/spreadsheets/d/1arpJoJSlKHkJ-Zn4sJxqp3okt8tUTIYCnkob2xnYiCU/edit?usp=sharing"",""June 2026!$A:$AJ""),36,0)+vlookup(A14,importrange(""https://docs.google.com/spreadsheets/d/1arpJoJSlKHkJ-Zn4s"&amp;"Jxqp3okt8tUTIYCnkob2xnYiCU/edit?usp=sharing"",""Current Month!$A:$AJ""),36,0)"),0)</f>
        <v>0</v>
      </c>
      <c r="E13" s="7">
        <f ca="1">IFERROR(__xludf.DUMMYFUNCTION("vlookup(A14,importrange(""https://docs.google.com/spreadsheets/d/1arpJoJSlKHkJ-Zn4sJxqp3okt8tUTIYCnkob2xnYiCU/edit?usp=sharing"",""Jan 2026!$A:$AK""),37,0)+vlookup(A14,importrange(""https://docs.google.com/spreadsheets/d/1arpJoJSlKHkJ-Zn4sJxqp3okt8tUTIYCn"&amp;"kob2xnYiCU/edit?usp=sharing"",""Feb 2026!$A:$AK""),37,0)+vlookup(A14,importrange(""https://docs.google.com/spreadsheets/d/1arpJoJSlKHkJ-Zn4sJxqp3okt8tUTIYCnkob2xnYiCU/edit?usp=sharing"",""Mar 2026!$A:$AK""),37,0)+vlookup(A14,importrange(""https://docs.goo"&amp;"gle.com/spreadsheets/d/1arpJoJSlKHkJ-Zn4sJxqp3okt8tUTIYCnkob2xnYiCU/edit?usp=sharing"",""Apr 2026!$A:$AK""),37,0)+vlookup(A14,importrange(""https://docs.google.com/spreadsheets/d/1arpJoJSlKHkJ-Zn4sJxqp3okt8tUTIYCnkob2xnYiCU/edit?usp=sharing"",""May 2026!$"&amp;"A:$AK""),37,0)+vlookup(A14,importrange(""https://docs.google.com/spreadsheets/d/1arpJoJSlKHkJ-Zn4sJxqp3okt8tUTIYCnkob2xnYiCU/edit?usp=sharing"",""June 2026!$A:$AK""),37,0)+vlookup(A14,importrange(""https://docs.google.com/spreadsheets/d/1arpJoJSlKHkJ-Zn4s"&amp;"Jxqp3okt8tUTIYCnkob2xnYiCU/edit?usp=sharing"",""Current Month!$A:$AK""),37,0)"),0)</f>
        <v>0</v>
      </c>
      <c r="F13" s="7">
        <f t="shared" ca="1" si="0"/>
        <v>3</v>
      </c>
      <c r="G13" s="7">
        <f ca="1">IFERROR(__xludf.DUMMYFUNCTION("vlookup(A14,importrange(""https://docs.google.com/spreadsheets/d/1arpJoJSlKHkJ-Zn4sJxqp3okt8tUTIYCnkob2xnYiCU/edit?usp=sharing"",""Jan 2026!$A:$AN""),40,0)+vlookup(A14,importrange(""https://docs.google.com/spreadsheets/d/1arpJoJSlKHkJ-Zn4sJxqp3okt8tUTIYCn"&amp;"kob2xnYiCU/edit?usp=sharing"",""Feb 2026!$A:$AN""),40,0)+vlookup(A14,importrange(""https://docs.google.com/spreadsheets/d/1arpJoJSlKHkJ-Zn4sJxqp3okt8tUTIYCnkob2xnYiCU/edit?usp=sharing"",""Mar 2026!$A:$AN""),40,0)+vlookup(A14,importrange(""https://docs.goo"&amp;"gle.com/spreadsheets/d/1arpJoJSlKHkJ-Zn4sJxqp3okt8tUTIYCnkob2xnYiCU/edit?usp=sharing"",""Apr 2026!$A:$AN""),40,0)+vlookup(A14,importrange(""https://docs.google.com/spreadsheets/d/1arpJoJSlKHkJ-Zn4sJxqp3okt8tUTIYCnkob2xnYiCU/edit?usp=sharing"",""May 2026!$"&amp;"A:$AN""),40,0)+vlookup(A14,importrange(""https://docs.google.com/spreadsheets/d/1arpJoJSlKHkJ-Zn4sJxqp3okt8tUTIYCnkob2xnYiCU/edit?usp=sharing"",""June 2026!$A:$AN""),40,0)+vlookup(A14,importrange(""https://docs.google.com/spreadsheets/d/1arpJoJSlKHkJ-Zn4s"&amp;"Jxqp3okt8tUTIYCnkob2xnYiCU/edit?usp=sharing"",""Current Month!$A:$AN""),40,0)"),1)</f>
        <v>1</v>
      </c>
      <c r="H13" s="7">
        <v>12</v>
      </c>
      <c r="I13" s="8">
        <f t="shared" ca="1" si="1"/>
        <v>10.5</v>
      </c>
      <c r="J13" s="7">
        <f ca="1">IFERROR(__xludf.DUMMYFUNCTION("vlookup(A14,importrange(""https://docs.google.com/spreadsheets/d/1arpJoJSlKHkJ-Zn4sJxqp3okt8tUTIYCnkob2xnYiCU/edit?usp=sharing"",""Jan 2026!$A:$AP""),41,0)+vlookup(A14,importrange(""https://docs.google.com/spreadsheets/d/1arpJoJSlKHkJ-Zn4sJxqp3okt8tUTIYCn"&amp;"kob2xnYiCU/edit?usp=sharing"",""Feb 2026!$A:$AP""),41,0)+vlookup(A14,importrange(""https://docs.google.com/spreadsheets/d/1arpJoJSlKHkJ-Zn4sJxqp3okt8tUTIYCnkob2xnYiCU/edit?usp=sharing"",""Mar 2026!$A:$AP""),41,0)+vlookup(A14,importrange(""https://docs.goo"&amp;"gle.com/spreadsheets/d/1arpJoJSlKHkJ-Zn4sJxqp3okt8tUTIYCnkob2xnYiCU/edit?usp=sharing"",""Current Month!$A:$AP""),41,0)"),9)</f>
        <v>9</v>
      </c>
      <c r="K13" s="9">
        <f ca="1">IFERROR(__xludf.DUMMYFUNCTION("J14/((vlookup(A14,importrange(""https://docs.google.com/spreadsheets/d/1arpJoJSlKHkJ-Zn4sJxqp3okt8tUTIYCnkob2xnYiCU/edit?usp=sharing"",""Jan 2026!$A:$AG""),33,0))+(vlookup(A14,importrange(""https://docs.google.com/spreadsheets/d/1arpJoJSlKHkJ-Zn4sJxqp3okt"&amp;"8tUTIYCnkob2xnYiCU/edit?usp=sharing"",""Feb 2026!$A:$AG""),33,0))+(vlookup(A14,importrange(""https://docs.google.com/spreadsheets/d/1arpJoJSlKHkJ-Zn4sJxqp3okt8tUTIYCnkob2xnYiCU/edit?usp=sharing"",""Mar 2026!$A:$AG""),33,0))+(vlookup(A14,importrange(""http"&amp;"s://docs.google.com/spreadsheets/d/1arpJoJSlKHkJ-Zn4sJxqp3okt8tUTIYCnkob2xnYiCU/edit?usp=sharing"",""Apr 2026!$A:$AG""),33,0))+(vlookup(A14,importrange(""https://docs.google.com/spreadsheets/d/1arpJoJSlKHkJ-Zn4sJxqp3okt8tUTIYCnkob2xnYiCU/edit?usp=sharing"&amp;""",""Current Month!$A:$AG""),33,0)))"),0.094240837696335)</f>
        <v>9.4240837696334998E-2</v>
      </c>
      <c r="L13" s="7">
        <f ca="1">IFERROR(__xludf.DUMMYFUNCTION("vlookup(A14,importrange(""https://docs.google.com/spreadsheets/d/1arpJoJSlKHkJ-Zn4sJxqp3okt8tUTIYCnkob2xnYiCU/edit?usp=sharing"",""Current Month!$A:$AP""),42,0)+vlookup(A14,importrange(""https://docs.google.com/spreadsheets/d/1arpJoJSlKHkJ-Zn4sJxqp3okt8tU"&amp;"TIYCnkob2xnYiCU/edit?usp=sharing"",""Jan 2026!$A:$AP""),42,0)+vlookup(A14,importrange(""https://docs.google.com/spreadsheets/d/1arpJoJSlKHkJ-Zn4sJxqp3okt8tUTIYCnkob2xnYiCU/edit?usp=sharing"",""Feb 2026!$A:$AP""),42,0)+vlookup(A14,importrange(""https://doc"&amp;"s.google.com/spreadsheets/d/1arpJoJSlKHkJ-Zn4sJxqp3okt8tUTIYCnkob2xnYiCU/edit?usp=sharing"",""Mar 2026!$A:$AP""),42,0)+vlookup(A14,importrange(""https://docs.google.com/spreadsheets/d/1arpJoJSlKHkJ-Zn4sJxqp3okt8tUTIYCnkob2xnYiCU/edit?usp=sharing"",""Apr 2"&amp;"026!$A:$AP""),42,0)"),2)</f>
        <v>2</v>
      </c>
    </row>
    <row r="14" spans="1:12" ht="15.75" hidden="1" customHeight="1" x14ac:dyDescent="0.35">
      <c r="A14" s="6" t="s">
        <v>23</v>
      </c>
      <c r="B14" s="7" t="str">
        <f ca="1">IFERROR(__xludf.DUMMYFUNCTION("vlookup(A15,importrange(""https://docs.google.com/spreadsheets/d/1arpJoJSlKHkJ-Zn4sJxqp3okt8tUTIYCnkob2xnYiCU/edit?usp=sharing"",""Jan 2026!$A:$AH""),34,0)+vlookup(A15,importrange(""https://docs.google.com/spreadsheets/d/1arpJoJSlKHkJ-Zn4sJxqp3okt8tUTIYCn"&amp;"kob2xnYiCU/edit?usp=sharing"",""Feb 2026!$A:$AH""),34,0)+vlookup(A15,importrange(""https://docs.google.com/spreadsheets/d/1arpJoJSlKHkJ-Zn4sJxqp3okt8tUTIYCnkob2xnYiCU/edit?usp=sharing"",""Mar 2026!$A:$AH""),34,0)+vlookup(A15,importrange(""https://docs.goo"&amp;"gle.com/spreadsheets/d/1arpJoJSlKHkJ-Zn4sJxqp3okt8tUTIYCnkob2xnYiCU/edit?usp=sharing"",""Apr 2026!$A:$AH""),34,0)+vlookup(A15,importrange(""https://docs.google.com/spreadsheets/d/1arpJoJSlKHkJ-Zn4sJxqp3okt8tUTIYCnkob2xnYiCU/edit?usp=sharing"",""May 2026!$"&amp;"A:$AH""),34,0)+vlookup(A15,importrange(""https://docs.google.com/spreadsheets/d/1arpJoJSlKHkJ-Zn4sJxqp3okt8tUTIYCnkob2xnYiCU/edit?usp=sharing"",""June 2026!$A:$AH""),34,0)+vlookup(A15,importrange(""https://docs.google.com/spreadsheets/d/1arpJoJSlKHkJ-Zn4s"&amp;"Jxqp3okt8tUTIYCnkob2xnYiCU/edit?usp=sharing"",""Current Month!$A:$AH""),34,0)"),"#N/A")</f>
        <v>#N/A</v>
      </c>
      <c r="C14" s="7" t="str">
        <f ca="1">IFERROR(__xludf.DUMMYFUNCTION("vlookup(A15,importrange(""https://docs.google.com/spreadsheets/d/1arpJoJSlKHkJ-Zn4sJxqp3okt8tUTIYCnkob2xnYiCU/edit?usp=sharing"",""Jan 2026!$A:$AI""),35,0)+vlookup(A15,importrange(""https://docs.google.com/spreadsheets/d/1arpJoJSlKHkJ-Zn4sJxqp3okt8tUTIYCn"&amp;"kob2xnYiCU/edit?usp=sharing"",""Feb 2026!$A:$AI""),35,0)+vlookup(A15,importrange(""https://docs.google.com/spreadsheets/d/1arpJoJSlKHkJ-Zn4sJxqp3okt8tUTIYCnkob2xnYiCU/edit?usp=sharing"",""Mar 2026!$A:$AI""),35,0)+vlookup(A15,importrange(""https://docs.goo"&amp;"gle.com/spreadsheets/d/1arpJoJSlKHkJ-Zn4sJxqp3okt8tUTIYCnkob2xnYiCU/edit?usp=sharing"",""Apr 2026!$A:$AI""),35,0)+vlookup(A15,importrange(""https://docs.google.com/spreadsheets/d/1arpJoJSlKHkJ-Zn4sJxqp3okt8tUTIYCnkob2xnYiCU/edit?usp=sharing"",""May 2026!$"&amp;"A:$AI""),35,0)+vlookup(A15,importrange(""https://docs.google.com/spreadsheets/d/1arpJoJSlKHkJ-Zn4sJxqp3okt8tUTIYCnkob2xnYiCU/edit?usp=sharing"",""June 2026!$A:$AI""),35,0)+vlookup(A15,importrange(""https://docs.google.com/spreadsheets/d/1arpJoJSlKHkJ-Zn4s"&amp;"Jxqp3okt8tUTIYCnkob2xnYiCU/edit?usp=sharing"",""Current Month!$A:$AI""),35,0)"),"#N/A")</f>
        <v>#N/A</v>
      </c>
      <c r="D14" s="7" t="str">
        <f ca="1">IFERROR(__xludf.DUMMYFUNCTION("vlookup(A15,importrange(""https://docs.google.com/spreadsheets/d/1arpJoJSlKHkJ-Zn4sJxqp3okt8tUTIYCnkob2xnYiCU/edit?usp=sharing"",""Jan 2026!$A:$AJ""),36,0)+vlookup(A15,importrange(""https://docs.google.com/spreadsheets/d/1arpJoJSlKHkJ-Zn4sJxqp3okt8tUTIYCn"&amp;"kob2xnYiCU/edit?usp=sharing"",""Feb 2026!$A:$AJ""),36,0)+vlookup(A15,importrange(""https://docs.google.com/spreadsheets/d/1arpJoJSlKHkJ-Zn4sJxqp3okt8tUTIYCnkob2xnYiCU/edit?usp=sharing"",""Mar 2026!$A:$AJ""),36,0)+vlookup(A15,importrange(""https://docs.goo"&amp;"gle.com/spreadsheets/d/1arpJoJSlKHkJ-Zn4sJxqp3okt8tUTIYCnkob2xnYiCU/edit?usp=sharing"",""Apr 2026!$A:$AJ""),36,0)+vlookup(A15,importrange(""https://docs.google.com/spreadsheets/d/1arpJoJSlKHkJ-Zn4sJxqp3okt8tUTIYCnkob2xnYiCU/edit?usp=sharing"",""May 2026!$"&amp;"A:$AJ""),36,0)+vlookup(A15,importrange(""https://docs.google.com/spreadsheets/d/1arpJoJSlKHkJ-Zn4sJxqp3okt8tUTIYCnkob2xnYiCU/edit?usp=sharing"",""June 2026!$A:$AJ""),36,0)+vlookup(A15,importrange(""https://docs.google.com/spreadsheets/d/1arpJoJSlKHkJ-Zn4s"&amp;"Jxqp3okt8tUTIYCnkob2xnYiCU/edit?usp=sharing"",""Current Month!$A:$AJ""),36,0)"),"#N/A")</f>
        <v>#N/A</v>
      </c>
      <c r="E14" s="7" t="str">
        <f ca="1">IFERROR(__xludf.DUMMYFUNCTION("vlookup(A15,importrange(""https://docs.google.com/spreadsheets/d/1arpJoJSlKHkJ-Zn4sJxqp3okt8tUTIYCnkob2xnYiCU/edit?usp=sharing"",""Jan 2026!$A:$AK""),37,0)+vlookup(A15,importrange(""https://docs.google.com/spreadsheets/d/1arpJoJSlKHkJ-Zn4sJxqp3okt8tUTIYCn"&amp;"kob2xnYiCU/edit?usp=sharing"",""Feb 2026!$A:$AK""),37,0)+vlookup(A15,importrange(""https://docs.google.com/spreadsheets/d/1arpJoJSlKHkJ-Zn4sJxqp3okt8tUTIYCnkob2xnYiCU/edit?usp=sharing"",""Mar 2026!$A:$AK""),37,0)+vlookup(A15,importrange(""https://docs.goo"&amp;"gle.com/spreadsheets/d/1arpJoJSlKHkJ-Zn4sJxqp3okt8tUTIYCnkob2xnYiCU/edit?usp=sharing"",""Apr 2026!$A:$AK""),37,0)+vlookup(A15,importrange(""https://docs.google.com/spreadsheets/d/1arpJoJSlKHkJ-Zn4sJxqp3okt8tUTIYCnkob2xnYiCU/edit?usp=sharing"",""May 2026!$"&amp;"A:$AK""),37,0)+vlookup(A15,importrange(""https://docs.google.com/spreadsheets/d/1arpJoJSlKHkJ-Zn4sJxqp3okt8tUTIYCnkob2xnYiCU/edit?usp=sharing"",""June 2026!$A:$AK""),37,0)+vlookup(A15,importrange(""https://docs.google.com/spreadsheets/d/1arpJoJSlKHkJ-Zn4s"&amp;"Jxqp3okt8tUTIYCnkob2xnYiCU/edit?usp=sharing"",""Current Month!$A:$AK""),37,0)"),"#N/A")</f>
        <v>#N/A</v>
      </c>
      <c r="F14" s="7" t="e">
        <f t="shared" ca="1" si="0"/>
        <v>#VALUE!</v>
      </c>
      <c r="G14" s="7" t="str">
        <f ca="1">IFERROR(__xludf.DUMMYFUNCTION("vlookup(A15,importrange(""https://docs.google.com/spreadsheets/d/1arpJoJSlKHkJ-Zn4sJxqp3okt8tUTIYCnkob2xnYiCU/edit?usp=sharing"",""Jan 2026!$A:$AN""),40,0)+vlookup(A15,importrange(""https://docs.google.com/spreadsheets/d/1arpJoJSlKHkJ-Zn4sJxqp3okt8tUTIYCn"&amp;"kob2xnYiCU/edit?usp=sharing"",""Feb 2026!$A:$AN""),40,0)+vlookup(A15,importrange(""https://docs.google.com/spreadsheets/d/1arpJoJSlKHkJ-Zn4sJxqp3okt8tUTIYCnkob2xnYiCU/edit?usp=sharing"",""Mar 2026!$A:$AN""),40,0)+vlookup(A15,importrange(""https://docs.goo"&amp;"gle.com/spreadsheets/d/1arpJoJSlKHkJ-Zn4sJxqp3okt8tUTIYCnkob2xnYiCU/edit?usp=sharing"",""Apr 2026!$A:$AN""),40,0)+vlookup(A15,importrange(""https://docs.google.com/spreadsheets/d/1arpJoJSlKHkJ-Zn4sJxqp3okt8tUTIYCnkob2xnYiCU/edit?usp=sharing"",""May 2026!$"&amp;"A:$AN""),40,0)+vlookup(A15,importrange(""https://docs.google.com/spreadsheets/d/1arpJoJSlKHkJ-Zn4sJxqp3okt8tUTIYCnkob2xnYiCU/edit?usp=sharing"",""June 2026!$A:$AN""),40,0)+vlookup(A15,importrange(""https://docs.google.com/spreadsheets/d/1arpJoJSlKHkJ-Zn4s"&amp;"Jxqp3okt8tUTIYCnkob2xnYiCU/edit?usp=sharing"",""Current Month!$A:$AN""),40,0)"),"#N/A")</f>
        <v>#N/A</v>
      </c>
      <c r="H14" s="7">
        <v>12</v>
      </c>
      <c r="I14" s="8" t="e">
        <f t="shared" ca="1" si="1"/>
        <v>#VALUE!</v>
      </c>
      <c r="J14" s="7" t="str">
        <f ca="1">IFERROR(__xludf.DUMMYFUNCTION("vlookup(A15,importrange(""https://docs.google.com/spreadsheets/d/1arpJoJSlKHkJ-Zn4sJxqp3okt8tUTIYCnkob2xnYiCU/edit?usp=sharing"",""Jan 2026!$A:$AP""),41,0)+vlookup(A15,importrange(""https://docs.google.com/spreadsheets/d/1arpJoJSlKHkJ-Zn4sJxqp3okt8tUTIYCn"&amp;"kob2xnYiCU/edit?usp=sharing"",""Feb 2026!$A:$AP""),41,0)+vlookup(A15,importrange(""https://docs.google.com/spreadsheets/d/1arpJoJSlKHkJ-Zn4sJxqp3okt8tUTIYCnkob2xnYiCU/edit?usp=sharing"",""Mar 2026!$A:$AP""),41,0)+vlookup(A15,importrange(""https://docs.goo"&amp;"gle.com/spreadsheets/d/1arpJoJSlKHkJ-Zn4sJxqp3okt8tUTIYCnkob2xnYiCU/edit?usp=sharing"",""Current Month!$A:$AP""),41,0)"),"#N/A")</f>
        <v>#N/A</v>
      </c>
      <c r="K14" s="9" t="str">
        <f ca="1">IFERROR(__xludf.DUMMYFUNCTION("J15/((vlookup(A15,importrange(""https://docs.google.com/spreadsheets/d/1arpJoJSlKHkJ-Zn4sJxqp3okt8tUTIYCnkob2xnYiCU/edit?usp=sharing"",""Jan 2026!$A:$AG""),33,0))+(vlookup(A15,importrange(""https://docs.google.com/spreadsheets/d/1arpJoJSlKHkJ-Zn4sJxqp3okt"&amp;"8tUTIYCnkob2xnYiCU/edit?usp=sharing"",""Feb 2026!$A:$AG""),33,0))+(vlookup(A15,importrange(""https://docs.google.com/spreadsheets/d/1arpJoJSlKHkJ-Zn4sJxqp3okt8tUTIYCnkob2xnYiCU/edit?usp=sharing"",""Mar 2026!$A:$AG""),33,0))+(vlookup(A15,importrange(""http"&amp;"s://docs.google.com/spreadsheets/d/1arpJoJSlKHkJ-Zn4sJxqp3okt8tUTIYCnkob2xnYiCU/edit?usp=sharing"",""Apr 2026!$A:$AG""),33,0))+(vlookup(A15,importrange(""https://docs.google.com/spreadsheets/d/1arpJoJSlKHkJ-Zn4sJxqp3okt8tUTIYCnkob2xnYiCU/edit?usp=sharing"&amp;""",""Current Month!$A:$AG""),33,0)))"),"#N/A")</f>
        <v>#N/A</v>
      </c>
      <c r="L14" s="7" t="str">
        <f ca="1">IFERROR(__xludf.DUMMYFUNCTION("vlookup(A15,importrange(""https://docs.google.com/spreadsheets/d/1arpJoJSlKHkJ-Zn4sJxqp3okt8tUTIYCnkob2xnYiCU/edit?usp=sharing"",""Current Month!$A:$AP""),42,0)+vlookup(A15,importrange(""https://docs.google.com/spreadsheets/d/1arpJoJSlKHkJ-Zn4sJxqp3okt8tU"&amp;"TIYCnkob2xnYiCU/edit?usp=sharing"",""Jan 2026!$A:$AP""),42,0)+vlookup(A15,importrange(""https://docs.google.com/spreadsheets/d/1arpJoJSlKHkJ-Zn4sJxqp3okt8tUTIYCnkob2xnYiCU/edit?usp=sharing"",""Feb 2026!$A:$AP""),42,0)+vlookup(A15,importrange(""https://doc"&amp;"s.google.com/spreadsheets/d/1arpJoJSlKHkJ-Zn4sJxqp3okt8tUTIYCnkob2xnYiCU/edit?usp=sharing"",""Mar 2026!$A:$AP""),42,0)+vlookup(A15,importrange(""https://docs.google.com/spreadsheets/d/1arpJoJSlKHkJ-Zn4sJxqp3okt8tUTIYCnkob2xnYiCU/edit?usp=sharing"",""Apr 2"&amp;"026!$A:$AP""),42,0)"),"#N/A")</f>
        <v>#N/A</v>
      </c>
    </row>
    <row r="15" spans="1:12" ht="15.75" customHeight="1" x14ac:dyDescent="0.35">
      <c r="A15" s="6" t="s">
        <v>24</v>
      </c>
      <c r="B15" s="7">
        <f ca="1">IFERROR(__xludf.DUMMYFUNCTION("vlookup(A16,importrange(""https://docs.google.com/spreadsheets/d/1arpJoJSlKHkJ-Zn4sJxqp3okt8tUTIYCnkob2xnYiCU/edit?usp=sharing"",""Jan 2026!$A:$AH""),34,0)+vlookup(A16,importrange(""https://docs.google.com/spreadsheets/d/1arpJoJSlKHkJ-Zn4sJxqp3okt8tUTIYCn"&amp;"kob2xnYiCU/edit?usp=sharing"",""Feb 2026!$A:$AH""),34,0)+vlookup(A16,importrange(""https://docs.google.com/spreadsheets/d/1arpJoJSlKHkJ-Zn4sJxqp3okt8tUTIYCnkob2xnYiCU/edit?usp=sharing"",""Mar 2026!$A:$AH""),34,0)+vlookup(A16,importrange(""https://docs.goo"&amp;"gle.com/spreadsheets/d/1arpJoJSlKHkJ-Zn4sJxqp3okt8tUTIYCnkob2xnYiCU/edit?usp=sharing"",""Apr 2026!$A:$AH""),34,0)+vlookup(A16,importrange(""https://docs.google.com/spreadsheets/d/1arpJoJSlKHkJ-Zn4sJxqp3okt8tUTIYCnkob2xnYiCU/edit?usp=sharing"",""May 2026!$"&amp;"A:$AH""),34,0)+vlookup(A16,importrange(""https://docs.google.com/spreadsheets/d/1arpJoJSlKHkJ-Zn4sJxqp3okt8tUTIYCnkob2xnYiCU/edit?usp=sharing"",""June 2026!$A:$AH""),34,0)+vlookup(A16,importrange(""https://docs.google.com/spreadsheets/d/1arpJoJSlKHkJ-Zn4s"&amp;"Jxqp3okt8tUTIYCnkob2xnYiCU/edit?usp=sharing"",""Current Month!$A:$AH""),34,0)"),12)</f>
        <v>12</v>
      </c>
      <c r="C15" s="7">
        <f ca="1">IFERROR(__xludf.DUMMYFUNCTION("vlookup(A16,importrange(""https://docs.google.com/spreadsheets/d/1arpJoJSlKHkJ-Zn4sJxqp3okt8tUTIYCnkob2xnYiCU/edit?usp=sharing"",""Jan 2026!$A:$AI""),35,0)+vlookup(A16,importrange(""https://docs.google.com/spreadsheets/d/1arpJoJSlKHkJ-Zn4sJxqp3okt8tUTIYCn"&amp;"kob2xnYiCU/edit?usp=sharing"",""Feb 2026!$A:$AI""),35,0)+vlookup(A16,importrange(""https://docs.google.com/spreadsheets/d/1arpJoJSlKHkJ-Zn4sJxqp3okt8tUTIYCnkob2xnYiCU/edit?usp=sharing"",""Mar 2026!$A:$AI""),35,0)+vlookup(A16,importrange(""https://docs.goo"&amp;"gle.com/spreadsheets/d/1arpJoJSlKHkJ-Zn4sJxqp3okt8tUTIYCnkob2xnYiCU/edit?usp=sharing"",""Apr 2026!$A:$AI""),35,0)+vlookup(A16,importrange(""https://docs.google.com/spreadsheets/d/1arpJoJSlKHkJ-Zn4sJxqp3okt8tUTIYCnkob2xnYiCU/edit?usp=sharing"",""May 2026!$"&amp;"A:$AI""),35,0)+vlookup(A16,importrange(""https://docs.google.com/spreadsheets/d/1arpJoJSlKHkJ-Zn4sJxqp3okt8tUTIYCnkob2xnYiCU/edit?usp=sharing"",""June 2026!$A:$AI""),35,0)+vlookup(A16,importrange(""https://docs.google.com/spreadsheets/d/1arpJoJSlKHkJ-Zn4s"&amp;"Jxqp3okt8tUTIYCnkob2xnYiCU/edit?usp=sharing"",""Current Month!$A:$AI""),35,0)"),4)</f>
        <v>4</v>
      </c>
      <c r="D15" s="7">
        <f ca="1">IFERROR(__xludf.DUMMYFUNCTION("vlookup(A16,importrange(""https://docs.google.com/spreadsheets/d/1arpJoJSlKHkJ-Zn4sJxqp3okt8tUTIYCnkob2xnYiCU/edit?usp=sharing"",""Jan 2026!$A:$AJ""),36,0)+vlookup(A16,importrange(""https://docs.google.com/spreadsheets/d/1arpJoJSlKHkJ-Zn4sJxqp3okt8tUTIYCn"&amp;"kob2xnYiCU/edit?usp=sharing"",""Feb 2026!$A:$AJ""),36,0)+vlookup(A16,importrange(""https://docs.google.com/spreadsheets/d/1arpJoJSlKHkJ-Zn4sJxqp3okt8tUTIYCnkob2xnYiCU/edit?usp=sharing"",""Mar 2026!$A:$AJ""),36,0)+vlookup(A16,importrange(""https://docs.goo"&amp;"gle.com/spreadsheets/d/1arpJoJSlKHkJ-Zn4sJxqp3okt8tUTIYCnkob2xnYiCU/edit?usp=sharing"",""Apr 2026!$A:$AJ""),36,0)+vlookup(A16,importrange(""https://docs.google.com/spreadsheets/d/1arpJoJSlKHkJ-Zn4sJxqp3okt8tUTIYCnkob2xnYiCU/edit?usp=sharing"",""May 2026!$"&amp;"A:$AJ""),36,0)+vlookup(A16,importrange(""https://docs.google.com/spreadsheets/d/1arpJoJSlKHkJ-Zn4sJxqp3okt8tUTIYCnkob2xnYiCU/edit?usp=sharing"",""June 2026!$A:$AJ""),36,0)+vlookup(A16,importrange(""https://docs.google.com/spreadsheets/d/1arpJoJSlKHkJ-Zn4s"&amp;"Jxqp3okt8tUTIYCnkob2xnYiCU/edit?usp=sharing"",""Current Month!$A:$AJ""),36,0)"),0)</f>
        <v>0</v>
      </c>
      <c r="E15" s="7">
        <f ca="1">IFERROR(__xludf.DUMMYFUNCTION("vlookup(A16,importrange(""https://docs.google.com/spreadsheets/d/1arpJoJSlKHkJ-Zn4sJxqp3okt8tUTIYCnkob2xnYiCU/edit?usp=sharing"",""Jan 2026!$A:$AK""),37,0)+vlookup(A16,importrange(""https://docs.google.com/spreadsheets/d/1arpJoJSlKHkJ-Zn4sJxqp3okt8tUTIYCn"&amp;"kob2xnYiCU/edit?usp=sharing"",""Feb 2026!$A:$AK""),37,0)+vlookup(A16,importrange(""https://docs.google.com/spreadsheets/d/1arpJoJSlKHkJ-Zn4sJxqp3okt8tUTIYCnkob2xnYiCU/edit?usp=sharing"",""Mar 2026!$A:$AK""),37,0)+vlookup(A16,importrange(""https://docs.goo"&amp;"gle.com/spreadsheets/d/1arpJoJSlKHkJ-Zn4sJxqp3okt8tUTIYCnkob2xnYiCU/edit?usp=sharing"",""Apr 2026!$A:$AK""),37,0)+vlookup(A16,importrange(""https://docs.google.com/spreadsheets/d/1arpJoJSlKHkJ-Zn4sJxqp3okt8tUTIYCnkob2xnYiCU/edit?usp=sharing"",""May 2026!$"&amp;"A:$AK""),37,0)+vlookup(A16,importrange(""https://docs.google.com/spreadsheets/d/1arpJoJSlKHkJ-Zn4sJxqp3okt8tUTIYCnkob2xnYiCU/edit?usp=sharing"",""June 2026!$A:$AK""),37,0)+vlookup(A16,importrange(""https://docs.google.com/spreadsheets/d/1arpJoJSlKHkJ-Zn4s"&amp;"Jxqp3okt8tUTIYCnkob2xnYiCU/edit?usp=sharing"",""Current Month!$A:$AK""),37,0)"),0)</f>
        <v>0</v>
      </c>
      <c r="F15" s="7">
        <f t="shared" ca="1" si="0"/>
        <v>4</v>
      </c>
      <c r="G15" s="7">
        <f ca="1">IFERROR(__xludf.DUMMYFUNCTION("vlookup(A16,importrange(""https://docs.google.com/spreadsheets/d/1arpJoJSlKHkJ-Zn4sJxqp3okt8tUTIYCnkob2xnYiCU/edit?usp=sharing"",""Jan 2026!$A:$AN""),40,0)+vlookup(A16,importrange(""https://docs.google.com/spreadsheets/d/1arpJoJSlKHkJ-Zn4sJxqp3okt8tUTIYCn"&amp;"kob2xnYiCU/edit?usp=sharing"",""Feb 2026!$A:$AN""),40,0)+vlookup(A16,importrange(""https://docs.google.com/spreadsheets/d/1arpJoJSlKHkJ-Zn4sJxqp3okt8tUTIYCnkob2xnYiCU/edit?usp=sharing"",""Mar 2026!$A:$AN""),40,0)+vlookup(A16,importrange(""https://docs.goo"&amp;"gle.com/spreadsheets/d/1arpJoJSlKHkJ-Zn4sJxqp3okt8tUTIYCnkob2xnYiCU/edit?usp=sharing"",""Apr 2026!$A:$AN""),40,0)+vlookup(A16,importrange(""https://docs.google.com/spreadsheets/d/1arpJoJSlKHkJ-Zn4sJxqp3okt8tUTIYCnkob2xnYiCU/edit?usp=sharing"",""May 2026!$"&amp;"A:$AN""),40,0)+vlookup(A16,importrange(""https://docs.google.com/spreadsheets/d/1arpJoJSlKHkJ-Zn4sJxqp3okt8tUTIYCnkob2xnYiCU/edit?usp=sharing"",""June 2026!$A:$AN""),40,0)+vlookup(A16,importrange(""https://docs.google.com/spreadsheets/d/1arpJoJSlKHkJ-Zn4s"&amp;"Jxqp3okt8tUTIYCnkob2xnYiCU/edit?usp=sharing"",""Current Month!$A:$AN""),40,0)"),0)</f>
        <v>0</v>
      </c>
      <c r="H15" s="7">
        <v>12</v>
      </c>
      <c r="I15" s="8">
        <f t="shared" ca="1" si="1"/>
        <v>5</v>
      </c>
      <c r="J15" s="7">
        <f ca="1">IFERROR(__xludf.DUMMYFUNCTION("vlookup(A16,importrange(""https://docs.google.com/spreadsheets/d/1arpJoJSlKHkJ-Zn4sJxqp3okt8tUTIYCnkob2xnYiCU/edit?usp=sharing"",""Jan 2026!$A:$AP""),41,0)+vlookup(A16,importrange(""https://docs.google.com/spreadsheets/d/1arpJoJSlKHkJ-Zn4sJxqp3okt8tUTIYCn"&amp;"kob2xnYiCU/edit?usp=sharing"",""Feb 2026!$A:$AP""),41,0)+vlookup(A16,importrange(""https://docs.google.com/spreadsheets/d/1arpJoJSlKHkJ-Zn4sJxqp3okt8tUTIYCnkob2xnYiCU/edit?usp=sharing"",""Mar 2026!$A:$AP""),41,0)+vlookup(A16,importrange(""https://docs.goo"&amp;"gle.com/spreadsheets/d/1arpJoJSlKHkJ-Zn4sJxqp3okt8tUTIYCnkob2xnYiCU/edit?usp=sharing"",""Current Month!$A:$AP""),41,0)"),10)</f>
        <v>10</v>
      </c>
      <c r="K15" s="9">
        <f ca="1">IFERROR(__xludf.DUMMYFUNCTION("J16/((vlookup(A16,importrange(""https://docs.google.com/spreadsheets/d/1arpJoJSlKHkJ-Zn4sJxqp3okt8tUTIYCnkob2xnYiCU/edit?usp=sharing"",""Jan 2026!$A:$AG""),33,0))+(vlookup(A16,importrange(""https://docs.google.com/spreadsheets/d/1arpJoJSlKHkJ-Zn4sJxqp3okt"&amp;"8tUTIYCnkob2xnYiCU/edit?usp=sharing"",""Feb 2026!$A:$AG""),33,0))+(vlookup(A16,importrange(""https://docs.google.com/spreadsheets/d/1arpJoJSlKHkJ-Zn4sJxqp3okt8tUTIYCnkob2xnYiCU/edit?usp=sharing"",""Mar 2026!$A:$AG""),33,0))+(vlookup(A16,importrange(""http"&amp;"s://docs.google.com/spreadsheets/d/1arpJoJSlKHkJ-Zn4sJxqp3okt8tUTIYCnkob2xnYiCU/edit?usp=sharing"",""Apr 2026!$A:$AG""),33,0))+(vlookup(A16,importrange(""https://docs.google.com/spreadsheets/d/1arpJoJSlKHkJ-Zn4sJxqp3okt8tUTIYCnkob2xnYiCU/edit?usp=sharing"&amp;""",""Current Month!$A:$AG""),33,0)))"),0.117647058823529)</f>
        <v>0.11764705882352899</v>
      </c>
      <c r="L15" s="7">
        <f ca="1">IFERROR(__xludf.DUMMYFUNCTION("vlookup(A16,importrange(""https://docs.google.com/spreadsheets/d/1arpJoJSlKHkJ-Zn4sJxqp3okt8tUTIYCnkob2xnYiCU/edit?usp=sharing"",""Current Month!$A:$AP""),42,0)+vlookup(A16,importrange(""https://docs.google.com/spreadsheets/d/1arpJoJSlKHkJ-Zn4sJxqp3okt8tU"&amp;"TIYCnkob2xnYiCU/edit?usp=sharing"",""Jan 2026!$A:$AP""),42,0)+vlookup(A16,importrange(""https://docs.google.com/spreadsheets/d/1arpJoJSlKHkJ-Zn4sJxqp3okt8tUTIYCnkob2xnYiCU/edit?usp=sharing"",""Feb 2026!$A:$AP""),42,0)+vlookup(A16,importrange(""https://doc"&amp;"s.google.com/spreadsheets/d/1arpJoJSlKHkJ-Zn4sJxqp3okt8tUTIYCnkob2xnYiCU/edit?usp=sharing"",""Mar 2026!$A:$AP""),42,0)+vlookup(A16,importrange(""https://docs.google.com/spreadsheets/d/1arpJoJSlKHkJ-Zn4sJxqp3okt8tUTIYCnkob2xnYiCU/edit?usp=sharing"",""Apr 2"&amp;"026!$A:$AP""),42,0)"),12)</f>
        <v>12</v>
      </c>
    </row>
    <row r="16" spans="1:12" ht="15.75" customHeight="1" x14ac:dyDescent="0.35">
      <c r="A16" s="6" t="s">
        <v>25</v>
      </c>
      <c r="B16" s="7">
        <f ca="1">IFERROR(__xludf.DUMMYFUNCTION("vlookup(A19,importrange(""https://docs.google.com/spreadsheets/d/1arpJoJSlKHkJ-Zn4sJxqp3okt8tUTIYCnkob2xnYiCU/edit?usp=sharing"",""Jan 2026!$A:$AH""),34,0)+vlookup(A19,importrange(""https://docs.google.com/spreadsheets/d/1arpJoJSlKHkJ-Zn4sJxqp3okt8tUTIYCn"&amp;"kob2xnYiCU/edit?usp=sharing"",""Feb 2026!$A:$AH""),34,0)+vlookup(A19,importrange(""https://docs.google.com/spreadsheets/d/1arpJoJSlKHkJ-Zn4sJxqp3okt8tUTIYCnkob2xnYiCU/edit?usp=sharing"",""Mar 2026!$A:$AH""),34,0)+vlookup(A19,importrange(""https://docs.goo"&amp;"gle.com/spreadsheets/d/1arpJoJSlKHkJ-Zn4sJxqp3okt8tUTIYCnkob2xnYiCU/edit?usp=sharing"",""Apr 2026!$A:$AH""),34,0)+vlookup(A19,importrange(""https://docs.google.com/spreadsheets/d/1arpJoJSlKHkJ-Zn4sJxqp3okt8tUTIYCnkob2xnYiCU/edit?usp=sharing"",""May 2026!$"&amp;"A:$AH""),34,0)+vlookup(A19,importrange(""https://docs.google.com/spreadsheets/d/1arpJoJSlKHkJ-Zn4sJxqp3okt8tUTIYCnkob2xnYiCU/edit?usp=sharing"",""June 2026!$A:$AH""),34,0)+vlookup(A19,importrange(""https://docs.google.com/spreadsheets/d/1arpJoJSlKHkJ-Zn4s"&amp;"Jxqp3okt8tUTIYCnkob2xnYiCU/edit?usp=sharing"",""Current Month!$A:$AH""),34,0)"),7)</f>
        <v>7</v>
      </c>
      <c r="C16" s="7">
        <f ca="1">IFERROR(__xludf.DUMMYFUNCTION("vlookup(A19,importrange(""https://docs.google.com/spreadsheets/d/1arpJoJSlKHkJ-Zn4sJxqp3okt8tUTIYCnkob2xnYiCU/edit?usp=sharing"",""Jan 2026!$A:$AI""),35,0)+vlookup(A19,importrange(""https://docs.google.com/spreadsheets/d/1arpJoJSlKHkJ-Zn4sJxqp3okt8tUTIYCn"&amp;"kob2xnYiCU/edit?usp=sharing"",""Feb 2026!$A:$AI""),35,0)+vlookup(A19,importrange(""https://docs.google.com/spreadsheets/d/1arpJoJSlKHkJ-Zn4sJxqp3okt8tUTIYCnkob2xnYiCU/edit?usp=sharing"",""Mar 2026!$A:$AI""),35,0)+vlookup(A19,importrange(""https://docs.goo"&amp;"gle.com/spreadsheets/d/1arpJoJSlKHkJ-Zn4sJxqp3okt8tUTIYCnkob2xnYiCU/edit?usp=sharing"",""Apr 2026!$A:$AI""),35,0)+vlookup(A19,importrange(""https://docs.google.com/spreadsheets/d/1arpJoJSlKHkJ-Zn4sJxqp3okt8tUTIYCnkob2xnYiCU/edit?usp=sharing"",""May 2026!$"&amp;"A:$AI""),35,0)+vlookup(A19,importrange(""https://docs.google.com/spreadsheets/d/1arpJoJSlKHkJ-Zn4sJxqp3okt8tUTIYCnkob2xnYiCU/edit?usp=sharing"",""June 2026!$A:$AI""),35,0)+vlookup(A19,importrange(""https://docs.google.com/spreadsheets/d/1arpJoJSlKHkJ-Zn4s"&amp;"Jxqp3okt8tUTIYCnkob2xnYiCU/edit?usp=sharing"",""Current Month!$A:$AI""),35,0)"),3.5)</f>
        <v>3.5</v>
      </c>
      <c r="D16" s="7">
        <f ca="1">IFERROR(__xludf.DUMMYFUNCTION("vlookup(A19,importrange(""https://docs.google.com/spreadsheets/d/1arpJoJSlKHkJ-Zn4sJxqp3okt8tUTIYCnkob2xnYiCU/edit?usp=sharing"",""Jan 2026!$A:$AJ""),36,0)+vlookup(A19,importrange(""https://docs.google.com/spreadsheets/d/1arpJoJSlKHkJ-Zn4sJxqp3okt8tUTIYCn"&amp;"kob2xnYiCU/edit?usp=sharing"",""Feb 2026!$A:$AJ""),36,0)+vlookup(A19,importrange(""https://docs.google.com/spreadsheets/d/1arpJoJSlKHkJ-Zn4sJxqp3okt8tUTIYCnkob2xnYiCU/edit?usp=sharing"",""Mar 2026!$A:$AJ""),36,0)+vlookup(A19,importrange(""https://docs.goo"&amp;"gle.com/spreadsheets/d/1arpJoJSlKHkJ-Zn4sJxqp3okt8tUTIYCnkob2xnYiCU/edit?usp=sharing"",""Apr 2026!$A:$AJ""),36,0)+vlookup(A19,importrange(""https://docs.google.com/spreadsheets/d/1arpJoJSlKHkJ-Zn4sJxqp3okt8tUTIYCnkob2xnYiCU/edit?usp=sharing"",""May 2026!$"&amp;"A:$AJ""),36,0)+vlookup(A19,importrange(""https://docs.google.com/spreadsheets/d/1arpJoJSlKHkJ-Zn4sJxqp3okt8tUTIYCnkob2xnYiCU/edit?usp=sharing"",""June 2026!$A:$AJ""),36,0)+vlookup(A19,importrange(""https://docs.google.com/spreadsheets/d/1arpJoJSlKHkJ-Zn4s"&amp;"Jxqp3okt8tUTIYCnkob2xnYiCU/edit?usp=sharing"",""Current Month!$A:$AJ""),36,0)"),0)</f>
        <v>0</v>
      </c>
      <c r="E16" s="7">
        <f ca="1">IFERROR(__xludf.DUMMYFUNCTION("vlookup(A19,importrange(""https://docs.google.com/spreadsheets/d/1arpJoJSlKHkJ-Zn4sJxqp3okt8tUTIYCnkob2xnYiCU/edit?usp=sharing"",""Jan 2026!$A:$AK""),37,0)+vlookup(A19,importrange(""https://docs.google.com/spreadsheets/d/1arpJoJSlKHkJ-Zn4sJxqp3okt8tUTIYCn"&amp;"kob2xnYiCU/edit?usp=sharing"",""Feb 2026!$A:$AK""),37,0)+vlookup(A19,importrange(""https://docs.google.com/spreadsheets/d/1arpJoJSlKHkJ-Zn4sJxqp3okt8tUTIYCnkob2xnYiCU/edit?usp=sharing"",""Mar 2026!$A:$AK""),37,0)+vlookup(A19,importrange(""https://docs.goo"&amp;"gle.com/spreadsheets/d/1arpJoJSlKHkJ-Zn4sJxqp3okt8tUTIYCnkob2xnYiCU/edit?usp=sharing"",""Apr 2026!$A:$AK""),37,0)+vlookup(A19,importrange(""https://docs.google.com/spreadsheets/d/1arpJoJSlKHkJ-Zn4sJxqp3okt8tUTIYCnkob2xnYiCU/edit?usp=sharing"",""May 2026!$"&amp;"A:$AK""),37,0)+vlookup(A19,importrange(""https://docs.google.com/spreadsheets/d/1arpJoJSlKHkJ-Zn4sJxqp3okt8tUTIYCnkob2xnYiCU/edit?usp=sharing"",""June 2026!$A:$AK""),37,0)+vlookup(A19,importrange(""https://docs.google.com/spreadsheets/d/1arpJoJSlKHkJ-Zn4s"&amp;"Jxqp3okt8tUTIYCnkob2xnYiCU/edit?usp=sharing"",""Current Month!$A:$AK""),37,0)"),0)</f>
        <v>0</v>
      </c>
      <c r="F16" s="7">
        <f t="shared" ca="1" si="0"/>
        <v>3</v>
      </c>
      <c r="G16" s="7">
        <f ca="1">IFERROR(__xludf.DUMMYFUNCTION("vlookup(A19,importrange(""https://docs.google.com/spreadsheets/d/1arpJoJSlKHkJ-Zn4sJxqp3okt8tUTIYCnkob2xnYiCU/edit?usp=sharing"",""Jan 2026!$A:$AN""),40,0)+vlookup(A19,importrange(""https://docs.google.com/spreadsheets/d/1arpJoJSlKHkJ-Zn4sJxqp3okt8tUTIYCn"&amp;"kob2xnYiCU/edit?usp=sharing"",""Feb 2026!$A:$AN""),40,0)+vlookup(A19,importrange(""https://docs.google.com/spreadsheets/d/1arpJoJSlKHkJ-Zn4sJxqp3okt8tUTIYCnkob2xnYiCU/edit?usp=sharing"",""Mar 2026!$A:$AN""),40,0)+vlookup(A19,importrange(""https://docs.goo"&amp;"gle.com/spreadsheets/d/1arpJoJSlKHkJ-Zn4sJxqp3okt8tUTIYCnkob2xnYiCU/edit?usp=sharing"",""Apr 2026!$A:$AN""),40,0)+vlookup(A19,importrange(""https://docs.google.com/spreadsheets/d/1arpJoJSlKHkJ-Zn4sJxqp3okt8tUTIYCnkob2xnYiCU/edit?usp=sharing"",""May 2026!$"&amp;"A:$AN""),40,0)+vlookup(A19,importrange(""https://docs.google.com/spreadsheets/d/1arpJoJSlKHkJ-Zn4sJxqp3okt8tUTIYCnkob2xnYiCU/edit?usp=sharing"",""June 2026!$A:$AN""),40,0)+vlookup(A19,importrange(""https://docs.google.com/spreadsheets/d/1arpJoJSlKHkJ-Zn4s"&amp;"Jxqp3okt8tUTIYCnkob2xnYiCU/edit?usp=sharing"",""Current Month!$A:$AN""),40,0)"),1)</f>
        <v>1</v>
      </c>
      <c r="H16" s="7">
        <v>12</v>
      </c>
      <c r="I16" s="8">
        <f t="shared" ca="1" si="1"/>
        <v>10.5</v>
      </c>
      <c r="J16" s="7">
        <f ca="1">IFERROR(__xludf.DUMMYFUNCTION("vlookup(A19,importrange(""https://docs.google.com/spreadsheets/d/1arpJoJSlKHkJ-Zn4sJxqp3okt8tUTIYCnkob2xnYiCU/edit?usp=sharing"",""Jan 2026!$A:$AP""),41,0)+vlookup(A19,importrange(""https://docs.google.com/spreadsheets/d/1arpJoJSlKHkJ-Zn4sJxqp3okt8tUTIYCn"&amp;"kob2xnYiCU/edit?usp=sharing"",""Feb 2026!$A:$AP""),41,0)+vlookup(A19,importrange(""https://docs.google.com/spreadsheets/d/1arpJoJSlKHkJ-Zn4sJxqp3okt8tUTIYCnkob2xnYiCU/edit?usp=sharing"",""Mar 2026!$A:$AP""),41,0)+vlookup(A19,importrange(""https://docs.goo"&amp;"gle.com/spreadsheets/d/1arpJoJSlKHkJ-Zn4sJxqp3okt8tUTIYCnkob2xnYiCU/edit?usp=sharing"",""Current Month!$A:$AP""),41,0)"),11)</f>
        <v>11</v>
      </c>
      <c r="K16" s="9">
        <f ca="1">IFERROR(__xludf.DUMMYFUNCTION("J19/((vlookup(A19,importrange(""https://docs.google.com/spreadsheets/d/1arpJoJSlKHkJ-Zn4sJxqp3okt8tUTIYCnkob2xnYiCU/edit?usp=sharing"",""Jan 2026!$A:$AG""),33,0))+(vlookup(A19,importrange(""https://docs.google.com/spreadsheets/d/1arpJoJSlKHkJ-Zn4sJxqp3okt"&amp;"8tUTIYCnkob2xnYiCU/edit?usp=sharing"",""Feb 2026!$A:$AG""),33,0))+(vlookup(A19,importrange(""https://docs.google.com/spreadsheets/d/1arpJoJSlKHkJ-Zn4sJxqp3okt8tUTIYCnkob2xnYiCU/edit?usp=sharing"",""Mar 2026!$A:$AG""),33,0))+(vlookup(A19,importrange(""http"&amp;"s://docs.google.com/spreadsheets/d/1arpJoJSlKHkJ-Zn4sJxqp3okt8tUTIYCnkob2xnYiCU/edit?usp=sharing"",""Apr 2026!$A:$AG""),33,0))+(vlookup(A19,importrange(""https://docs.google.com/spreadsheets/d/1arpJoJSlKHkJ-Zn4sJxqp3okt8tUTIYCnkob2xnYiCU/edit?usp=sharing"&amp;""",""Current Month!$A:$AG""),33,0)))"),0.118918918918918)</f>
        <v>0.118918918918918</v>
      </c>
      <c r="L16" s="7">
        <f ca="1">IFERROR(__xludf.DUMMYFUNCTION("vlookup(A19,importrange(""https://docs.google.com/spreadsheets/d/1arpJoJSlKHkJ-Zn4sJxqp3okt8tUTIYCnkob2xnYiCU/edit?usp=sharing"",""Current Month!$A:$AP""),42,0)+vlookup(A19,importrange(""https://docs.google.com/spreadsheets/d/1arpJoJSlKHkJ-Zn4sJxqp3okt8tU"&amp;"TIYCnkob2xnYiCU/edit?usp=sharing"",""Jan 2026!$A:$AP""),42,0)+vlookup(A19,importrange(""https://docs.google.com/spreadsheets/d/1arpJoJSlKHkJ-Zn4sJxqp3okt8tUTIYCnkob2xnYiCU/edit?usp=sharing"",""Feb 2026!$A:$AP""),42,0)+vlookup(A19,importrange(""https://doc"&amp;"s.google.com/spreadsheets/d/1arpJoJSlKHkJ-Zn4sJxqp3okt8tUTIYCnkob2xnYiCU/edit?usp=sharing"",""Mar 2026!$A:$AP""),42,0)+vlookup(A19,importrange(""https://docs.google.com/spreadsheets/d/1arpJoJSlKHkJ-Zn4sJxqp3okt8tUTIYCnkob2xnYiCU/edit?usp=sharing"",""Apr 2"&amp;"026!$A:$AP""),42,0)"),0)</f>
        <v>0</v>
      </c>
    </row>
    <row r="17" spans="1:12" ht="15.75" customHeight="1" x14ac:dyDescent="0.35">
      <c r="A17" s="6" t="s">
        <v>26</v>
      </c>
      <c r="B17" s="7">
        <f ca="1">IFERROR(__xludf.DUMMYFUNCTION("vlookup(A20,importrange(""https://docs.google.com/spreadsheets/d/1arpJoJSlKHkJ-Zn4sJxqp3okt8tUTIYCnkob2xnYiCU/edit?usp=sharing"",""Jan 2026!$A:$AH""),34,0)+vlookup(A20,importrange(""https://docs.google.com/spreadsheets/d/1arpJoJSlKHkJ-Zn4sJxqp3okt8tUTIYCn"&amp;"kob2xnYiCU/edit?usp=sharing"",""Feb 2026!$A:$AH""),34,0)+vlookup(A20,importrange(""https://docs.google.com/spreadsheets/d/1arpJoJSlKHkJ-Zn4sJxqp3okt8tUTIYCnkob2xnYiCU/edit?usp=sharing"",""Mar 2026!$A:$AH""),34,0)+vlookup(A20,importrange(""https://docs.goo"&amp;"gle.com/spreadsheets/d/1arpJoJSlKHkJ-Zn4sJxqp3okt8tUTIYCnkob2xnYiCU/edit?usp=sharing"",""Apr 2026!$A:$AH""),34,0)+vlookup(A20,importrange(""https://docs.google.com/spreadsheets/d/1arpJoJSlKHkJ-Zn4sJxqp3okt8tUTIYCnkob2xnYiCU/edit?usp=sharing"",""May 2026!$"&amp;"A:$AH""),34,0)+vlookup(A20,importrange(""https://docs.google.com/spreadsheets/d/1arpJoJSlKHkJ-Zn4sJxqp3okt8tUTIYCnkob2xnYiCU/edit?usp=sharing"",""June 2026!$A:$AH""),34,0)+vlookup(A20,importrange(""https://docs.google.com/spreadsheets/d/1arpJoJSlKHkJ-Zn4s"&amp;"Jxqp3okt8tUTIYCnkob2xnYiCU/edit?usp=sharing"",""Current Month!$A:$AH""),34,0)"),7)</f>
        <v>7</v>
      </c>
      <c r="C17" s="7">
        <f ca="1">IFERROR(__xludf.DUMMYFUNCTION("vlookup(A20,importrange(""https://docs.google.com/spreadsheets/d/1arpJoJSlKHkJ-Zn4sJxqp3okt8tUTIYCnkob2xnYiCU/edit?usp=sharing"",""Jan 2026!$A:$AI""),35,0)+vlookup(A20,importrange(""https://docs.google.com/spreadsheets/d/1arpJoJSlKHkJ-Zn4sJxqp3okt8tUTIYCn"&amp;"kob2xnYiCU/edit?usp=sharing"",""Feb 2026!$A:$AI""),35,0)+vlookup(A20,importrange(""https://docs.google.com/spreadsheets/d/1arpJoJSlKHkJ-Zn4sJxqp3okt8tUTIYCnkob2xnYiCU/edit?usp=sharing"",""Mar 2026!$A:$AI""),35,0)+vlookup(A20,importrange(""https://docs.goo"&amp;"gle.com/spreadsheets/d/1arpJoJSlKHkJ-Zn4sJxqp3okt8tUTIYCnkob2xnYiCU/edit?usp=sharing"",""Apr 2026!$A:$AI""),35,0)+vlookup(A20,importrange(""https://docs.google.com/spreadsheets/d/1arpJoJSlKHkJ-Zn4sJxqp3okt8tUTIYCnkob2xnYiCU/edit?usp=sharing"",""May 2026!$"&amp;"A:$AI""),35,0)+vlookup(A20,importrange(""https://docs.google.com/spreadsheets/d/1arpJoJSlKHkJ-Zn4sJxqp3okt8tUTIYCnkob2xnYiCU/edit?usp=sharing"",""June 2026!$A:$AI""),35,0)+vlookup(A20,importrange(""https://docs.google.com/spreadsheets/d/1arpJoJSlKHkJ-Zn4s"&amp;"Jxqp3okt8tUTIYCnkob2xnYiCU/edit?usp=sharing"",""Current Month!$A:$AI""),35,0)"),2.5)</f>
        <v>2.5</v>
      </c>
      <c r="D17" s="7">
        <f ca="1">IFERROR(__xludf.DUMMYFUNCTION("vlookup(A20,importrange(""https://docs.google.com/spreadsheets/d/1arpJoJSlKHkJ-Zn4sJxqp3okt8tUTIYCnkob2xnYiCU/edit?usp=sharing"",""Jan 2026!$A:$AJ""),36,0)+vlookup(A20,importrange(""https://docs.google.com/spreadsheets/d/1arpJoJSlKHkJ-Zn4sJxqp3okt8tUTIYCn"&amp;"kob2xnYiCU/edit?usp=sharing"",""Feb 2026!$A:$AJ""),36,0)+vlookup(A20,importrange(""https://docs.google.com/spreadsheets/d/1arpJoJSlKHkJ-Zn4sJxqp3okt8tUTIYCnkob2xnYiCU/edit?usp=sharing"",""Mar 2026!$A:$AJ""),36,0)+vlookup(A20,importrange(""https://docs.goo"&amp;"gle.com/spreadsheets/d/1arpJoJSlKHkJ-Zn4sJxqp3okt8tUTIYCnkob2xnYiCU/edit?usp=sharing"",""Apr 2026!$A:$AJ""),36,0)+vlookup(A20,importrange(""https://docs.google.com/spreadsheets/d/1arpJoJSlKHkJ-Zn4sJxqp3okt8tUTIYCnkob2xnYiCU/edit?usp=sharing"",""May 2026!$"&amp;"A:$AJ""),36,0)+vlookup(A20,importrange(""https://docs.google.com/spreadsheets/d/1arpJoJSlKHkJ-Zn4sJxqp3okt8tUTIYCnkob2xnYiCU/edit?usp=sharing"",""June 2026!$A:$AJ""),36,0)+vlookup(A20,importrange(""https://docs.google.com/spreadsheets/d/1arpJoJSlKHkJ-Zn4s"&amp;"Jxqp3okt8tUTIYCnkob2xnYiCU/edit?usp=sharing"",""Current Month!$A:$AJ""),36,0)"),0)</f>
        <v>0</v>
      </c>
      <c r="E17" s="7">
        <f ca="1">IFERROR(__xludf.DUMMYFUNCTION("vlookup(A20,importrange(""https://docs.google.com/spreadsheets/d/1arpJoJSlKHkJ-Zn4sJxqp3okt8tUTIYCnkob2xnYiCU/edit?usp=sharing"",""Jan 2026!$A:$AK""),37,0)+vlookup(A20,importrange(""https://docs.google.com/spreadsheets/d/1arpJoJSlKHkJ-Zn4sJxqp3okt8tUTIYCn"&amp;"kob2xnYiCU/edit?usp=sharing"",""Feb 2026!$A:$AK""),37,0)+vlookup(A20,importrange(""https://docs.google.com/spreadsheets/d/1arpJoJSlKHkJ-Zn4sJxqp3okt8tUTIYCnkob2xnYiCU/edit?usp=sharing"",""Mar 2026!$A:$AK""),37,0)+vlookup(A20,importrange(""https://docs.goo"&amp;"gle.com/spreadsheets/d/1arpJoJSlKHkJ-Zn4sJxqp3okt8tUTIYCnkob2xnYiCU/edit?usp=sharing"",""Apr 2026!$A:$AK""),37,0)+vlookup(A20,importrange(""https://docs.google.com/spreadsheets/d/1arpJoJSlKHkJ-Zn4sJxqp3okt8tUTIYCnkob2xnYiCU/edit?usp=sharing"",""May 2026!$"&amp;"A:$AK""),37,0)+vlookup(A20,importrange(""https://docs.google.com/spreadsheets/d/1arpJoJSlKHkJ-Zn4sJxqp3okt8tUTIYCnkob2xnYiCU/edit?usp=sharing"",""June 2026!$A:$AK""),37,0)+vlookup(A20,importrange(""https://docs.google.com/spreadsheets/d/1arpJoJSlKHkJ-Zn4s"&amp;"Jxqp3okt8tUTIYCnkob2xnYiCU/edit?usp=sharing"",""Current Month!$A:$AK""),37,0)"),0)</f>
        <v>0</v>
      </c>
      <c r="F17" s="7">
        <f t="shared" ca="1" si="0"/>
        <v>4</v>
      </c>
      <c r="G17" s="7">
        <f ca="1">IFERROR(__xludf.DUMMYFUNCTION("vlookup(A20,importrange(""https://docs.google.com/spreadsheets/d/1arpJoJSlKHkJ-Zn4sJxqp3okt8tUTIYCnkob2xnYiCU/edit?usp=sharing"",""Jan 2026!$A:$AN""),40,0)+vlookup(A20,importrange(""https://docs.google.com/spreadsheets/d/1arpJoJSlKHkJ-Zn4sJxqp3okt8tUTIYCn"&amp;"kob2xnYiCU/edit?usp=sharing"",""Feb 2026!$A:$AN""),40,0)+vlookup(A20,importrange(""https://docs.google.com/spreadsheets/d/1arpJoJSlKHkJ-Zn4sJxqp3okt8tUTIYCnkob2xnYiCU/edit?usp=sharing"",""Mar 2026!$A:$AN""),40,0)+vlookup(A20,importrange(""https://docs.goo"&amp;"gle.com/spreadsheets/d/1arpJoJSlKHkJ-Zn4sJxqp3okt8tUTIYCnkob2xnYiCU/edit?usp=sharing"",""Apr 2026!$A:$AN""),40,0)+vlookup(A20,importrange(""https://docs.google.com/spreadsheets/d/1arpJoJSlKHkJ-Zn4sJxqp3okt8tUTIYCnkob2xnYiCU/edit?usp=sharing"",""May 2026!$"&amp;"A:$AN""),40,0)+vlookup(A20,importrange(""https://docs.google.com/spreadsheets/d/1arpJoJSlKHkJ-Zn4sJxqp3okt8tUTIYCnkob2xnYiCU/edit?usp=sharing"",""June 2026!$A:$AN""),40,0)+vlookup(A20,importrange(""https://docs.google.com/spreadsheets/d/1arpJoJSlKHkJ-Zn4s"&amp;"Jxqp3okt8tUTIYCnkob2xnYiCU/edit?usp=sharing"",""Current Month!$A:$AN""),40,0)"),0)</f>
        <v>0</v>
      </c>
      <c r="H17" s="7">
        <v>12</v>
      </c>
      <c r="I17" s="8">
        <f t="shared" ca="1" si="1"/>
        <v>11.5</v>
      </c>
      <c r="J17" s="7">
        <f ca="1">IFERROR(__xludf.DUMMYFUNCTION("vlookup(A20,importrange(""https://docs.google.com/spreadsheets/d/1arpJoJSlKHkJ-Zn4sJxqp3okt8tUTIYCnkob2xnYiCU/edit?usp=sharing"",""Jan 2026!$A:$AP""),41,0)+vlookup(A20,importrange(""https://docs.google.com/spreadsheets/d/1arpJoJSlKHkJ-Zn4sJxqp3okt8tUTIYCn"&amp;"kob2xnYiCU/edit?usp=sharing"",""Feb 2026!$A:$AP""),41,0)+vlookup(A20,importrange(""https://docs.google.com/spreadsheets/d/1arpJoJSlKHkJ-Zn4sJxqp3okt8tUTIYCnkob2xnYiCU/edit?usp=sharing"",""Mar 2026!$A:$AP""),41,0)+vlookup(A20,importrange(""https://docs.goo"&amp;"gle.com/spreadsheets/d/1arpJoJSlKHkJ-Zn4sJxqp3okt8tUTIYCnkob2xnYiCU/edit?usp=sharing"",""Current Month!$A:$AP""),41,0)"),16)</f>
        <v>16</v>
      </c>
      <c r="K17" s="9">
        <f ca="1">IFERROR(__xludf.DUMMYFUNCTION("J20/((vlookup(A20,importrange(""https://docs.google.com/spreadsheets/d/1arpJoJSlKHkJ-Zn4sJxqp3okt8tUTIYCnkob2xnYiCU/edit?usp=sharing"",""Jan 2026!$A:$AG""),33,0))+(vlookup(A20,importrange(""https://docs.google.com/spreadsheets/d/1arpJoJSlKHkJ-Zn4sJxqp3okt"&amp;"8tUTIYCnkob2xnYiCU/edit?usp=sharing"",""Feb 2026!$A:$AG""),33,0))+(vlookup(A20,importrange(""https://docs.google.com/spreadsheets/d/1arpJoJSlKHkJ-Zn4sJxqp3okt8tUTIYCnkob2xnYiCU/edit?usp=sharing"",""Mar 2026!$A:$AG""),33,0))+(vlookup(A20,importrange(""http"&amp;"s://docs.google.com/spreadsheets/d/1arpJoJSlKHkJ-Zn4sJxqp3okt8tUTIYCnkob2xnYiCU/edit?usp=sharing"",""Apr 2026!$A:$AG""),33,0))+(vlookup(A20,importrange(""https://docs.google.com/spreadsheets/d/1arpJoJSlKHkJ-Zn4sJxqp3okt8tUTIYCnkob2xnYiCU/edit?usp=sharing"&amp;""",""Current Month!$A:$AG""),33,0)))"),0.167539267015706)</f>
        <v>0.16753926701570601</v>
      </c>
      <c r="L17" s="7">
        <f ca="1">IFERROR(__xludf.DUMMYFUNCTION("vlookup(A20,importrange(""https://docs.google.com/spreadsheets/d/1arpJoJSlKHkJ-Zn4sJxqp3okt8tUTIYCnkob2xnYiCU/edit?usp=sharing"",""Current Month!$A:$AP""),42,0)+vlookup(A20,importrange(""https://docs.google.com/spreadsheets/d/1arpJoJSlKHkJ-Zn4sJxqp3okt8tU"&amp;"TIYCnkob2xnYiCU/edit?usp=sharing"",""Jan 2026!$A:$AP""),42,0)+vlookup(A20,importrange(""https://docs.google.com/spreadsheets/d/1arpJoJSlKHkJ-Zn4sJxqp3okt8tUTIYCnkob2xnYiCU/edit?usp=sharing"",""Feb 2026!$A:$AP""),42,0)+vlookup(A20,importrange(""https://doc"&amp;"s.google.com/spreadsheets/d/1arpJoJSlKHkJ-Zn4sJxqp3okt8tUTIYCnkob2xnYiCU/edit?usp=sharing"",""Mar 2026!$A:$AP""),42,0)+vlookup(A20,importrange(""https://docs.google.com/spreadsheets/d/1arpJoJSlKHkJ-Zn4sJxqp3okt8tUTIYCnkob2xnYiCU/edit?usp=sharing"",""Apr 2"&amp;"026!$A:$AP""),42,0)"),2)</f>
        <v>2</v>
      </c>
    </row>
    <row r="18" spans="1:12" ht="15.75" customHeight="1" x14ac:dyDescent="0.35">
      <c r="A18" s="6" t="s">
        <v>27</v>
      </c>
      <c r="B18" s="7">
        <f ca="1">IFERROR(__xludf.DUMMYFUNCTION("vlookup(A21,importrange(""https://docs.google.com/spreadsheets/d/1arpJoJSlKHkJ-Zn4sJxqp3okt8tUTIYCnkob2xnYiCU/edit?usp=sharing"",""Jan 2026!$A:$AH""),34,0)+vlookup(A21,importrange(""https://docs.google.com/spreadsheets/d/1arpJoJSlKHkJ-Zn4sJxqp3okt8tUTIYCn"&amp;"kob2xnYiCU/edit?usp=sharing"",""Feb 2026!$A:$AH""),34,0)+vlookup(A21,importrange(""https://docs.google.com/spreadsheets/d/1arpJoJSlKHkJ-Zn4sJxqp3okt8tUTIYCnkob2xnYiCU/edit?usp=sharing"",""Mar 2026!$A:$AH""),34,0)+vlookup(A21,importrange(""https://docs.goo"&amp;"gle.com/spreadsheets/d/1arpJoJSlKHkJ-Zn4sJxqp3okt8tUTIYCnkob2xnYiCU/edit?usp=sharing"",""Apr 2026!$A:$AH""),34,0)+vlookup(A21,importrange(""https://docs.google.com/spreadsheets/d/1arpJoJSlKHkJ-Zn4sJxqp3okt8tUTIYCnkob2xnYiCU/edit?usp=sharing"",""May 2026!$"&amp;"A:$AH""),34,0)+vlookup(A21,importrange(""https://docs.google.com/spreadsheets/d/1arpJoJSlKHkJ-Zn4sJxqp3okt8tUTIYCnkob2xnYiCU/edit?usp=sharing"",""June 2026!$A:$AH""),34,0)+vlookup(A21,importrange(""https://docs.google.com/spreadsheets/d/1arpJoJSlKHkJ-Zn4s"&amp;"Jxqp3okt8tUTIYCnkob2xnYiCU/edit?usp=sharing"",""Current Month!$A:$AH""),34,0)"),6)</f>
        <v>6</v>
      </c>
      <c r="C18" s="7">
        <f ca="1">IFERROR(__xludf.DUMMYFUNCTION("vlookup(A21,importrange(""https://docs.google.com/spreadsheets/d/1arpJoJSlKHkJ-Zn4sJxqp3okt8tUTIYCnkob2xnYiCU/edit?usp=sharing"",""Jan 2026!$A:$AI""),35,0)+vlookup(A21,importrange(""https://docs.google.com/spreadsheets/d/1arpJoJSlKHkJ-Zn4sJxqp3okt8tUTIYCn"&amp;"kob2xnYiCU/edit?usp=sharing"",""Feb 2026!$A:$AI""),35,0)+vlookup(A21,importrange(""https://docs.google.com/spreadsheets/d/1arpJoJSlKHkJ-Zn4sJxqp3okt8tUTIYCnkob2xnYiCU/edit?usp=sharing"",""Mar 2026!$A:$AI""),35,0)+vlookup(A21,importrange(""https://docs.goo"&amp;"gle.com/spreadsheets/d/1arpJoJSlKHkJ-Zn4sJxqp3okt8tUTIYCnkob2xnYiCU/edit?usp=sharing"",""Apr 2026!$A:$AI""),35,0)+vlookup(A21,importrange(""https://docs.google.com/spreadsheets/d/1arpJoJSlKHkJ-Zn4sJxqp3okt8tUTIYCnkob2xnYiCU/edit?usp=sharing"",""May 2026!$"&amp;"A:$AI""),35,0)+vlookup(A21,importrange(""https://docs.google.com/spreadsheets/d/1arpJoJSlKHkJ-Zn4sJxqp3okt8tUTIYCnkob2xnYiCU/edit?usp=sharing"",""June 2026!$A:$AI""),35,0)+vlookup(A21,importrange(""https://docs.google.com/spreadsheets/d/1arpJoJSlKHkJ-Zn4s"&amp;"Jxqp3okt8tUTIYCnkob2xnYiCU/edit?usp=sharing"",""Current Month!$A:$AI""),35,0)"),7.5)</f>
        <v>7.5</v>
      </c>
      <c r="D18" s="7">
        <f ca="1">IFERROR(__xludf.DUMMYFUNCTION("vlookup(A21,importrange(""https://docs.google.com/spreadsheets/d/1arpJoJSlKHkJ-Zn4sJxqp3okt8tUTIYCnkob2xnYiCU/edit?usp=sharing"",""Jan 2026!$A:$AJ""),36,0)+vlookup(A21,importrange(""https://docs.google.com/spreadsheets/d/1arpJoJSlKHkJ-Zn4sJxqp3okt8tUTIYCn"&amp;"kob2xnYiCU/edit?usp=sharing"",""Feb 2026!$A:$AJ""),36,0)+vlookup(A21,importrange(""https://docs.google.com/spreadsheets/d/1arpJoJSlKHkJ-Zn4sJxqp3okt8tUTIYCnkob2xnYiCU/edit?usp=sharing"",""Mar 2026!$A:$AJ""),36,0)+vlookup(A21,importrange(""https://docs.goo"&amp;"gle.com/spreadsheets/d/1arpJoJSlKHkJ-Zn4sJxqp3okt8tUTIYCnkob2xnYiCU/edit?usp=sharing"",""Apr 2026!$A:$AJ""),36,0)+vlookup(A21,importrange(""https://docs.google.com/spreadsheets/d/1arpJoJSlKHkJ-Zn4sJxqp3okt8tUTIYCnkob2xnYiCU/edit?usp=sharing"",""May 2026!$"&amp;"A:$AJ""),36,0)+vlookup(A21,importrange(""https://docs.google.com/spreadsheets/d/1arpJoJSlKHkJ-Zn4sJxqp3okt8tUTIYCnkob2xnYiCU/edit?usp=sharing"",""June 2026!$A:$AJ""),36,0)+vlookup(A21,importrange(""https://docs.google.com/spreadsheets/d/1arpJoJSlKHkJ-Zn4s"&amp;"Jxqp3okt8tUTIYCnkob2xnYiCU/edit?usp=sharing"",""Current Month!$A:$AJ""),36,0)"),0)</f>
        <v>0</v>
      </c>
      <c r="E18" s="7">
        <f ca="1">IFERROR(__xludf.DUMMYFUNCTION("vlookup(A21,importrange(""https://docs.google.com/spreadsheets/d/1arpJoJSlKHkJ-Zn4sJxqp3okt8tUTIYCnkob2xnYiCU/edit?usp=sharing"",""Jan 2026!$A:$AK""),37,0)+vlookup(A21,importrange(""https://docs.google.com/spreadsheets/d/1arpJoJSlKHkJ-Zn4sJxqp3okt8tUTIYCn"&amp;"kob2xnYiCU/edit?usp=sharing"",""Feb 2026!$A:$AK""),37,0)+vlookup(A21,importrange(""https://docs.google.com/spreadsheets/d/1arpJoJSlKHkJ-Zn4sJxqp3okt8tUTIYCnkob2xnYiCU/edit?usp=sharing"",""Mar 2026!$A:$AK""),37,0)+vlookup(A21,importrange(""https://docs.goo"&amp;"gle.com/spreadsheets/d/1arpJoJSlKHkJ-Zn4sJxqp3okt8tUTIYCnkob2xnYiCU/edit?usp=sharing"",""Apr 2026!$A:$AK""),37,0)+vlookup(A21,importrange(""https://docs.google.com/spreadsheets/d/1arpJoJSlKHkJ-Zn4sJxqp3okt8tUTIYCnkob2xnYiCU/edit?usp=sharing"",""May 2026!$"&amp;"A:$AK""),37,0)+vlookup(A21,importrange(""https://docs.google.com/spreadsheets/d/1arpJoJSlKHkJ-Zn4sJxqp3okt8tUTIYCnkob2xnYiCU/edit?usp=sharing"",""June 2026!$A:$AK""),37,0)+vlookup(A21,importrange(""https://docs.google.com/spreadsheets/d/1arpJoJSlKHkJ-Zn4s"&amp;"Jxqp3okt8tUTIYCnkob2xnYiCU/edit?usp=sharing"",""Current Month!$A:$AK""),37,0)"),0)</f>
        <v>0</v>
      </c>
      <c r="F18" s="7">
        <f t="shared" ca="1" si="0"/>
        <v>4</v>
      </c>
      <c r="G18" s="7">
        <f ca="1">IFERROR(__xludf.DUMMYFUNCTION("vlookup(A21,importrange(""https://docs.google.com/spreadsheets/d/1arpJoJSlKHkJ-Zn4sJxqp3okt8tUTIYCnkob2xnYiCU/edit?usp=sharing"",""Jan 2026!$A:$AN""),40,0)+vlookup(A21,importrange(""https://docs.google.com/spreadsheets/d/1arpJoJSlKHkJ-Zn4sJxqp3okt8tUTIYCn"&amp;"kob2xnYiCU/edit?usp=sharing"",""Feb 2026!$A:$AN""),40,0)+vlookup(A21,importrange(""https://docs.google.com/spreadsheets/d/1arpJoJSlKHkJ-Zn4sJxqp3okt8tUTIYCnkob2xnYiCU/edit?usp=sharing"",""Mar 2026!$A:$AN""),40,0)+vlookup(A21,importrange(""https://docs.goo"&amp;"gle.com/spreadsheets/d/1arpJoJSlKHkJ-Zn4sJxqp3okt8tUTIYCnkob2xnYiCU/edit?usp=sharing"",""Apr 2026!$A:$AN""),40,0)+vlookup(A21,importrange(""https://docs.google.com/spreadsheets/d/1arpJoJSlKHkJ-Zn4sJxqp3okt8tUTIYCnkob2xnYiCU/edit?usp=sharing"",""May 2026!$"&amp;"A:$AN""),40,0)+vlookup(A21,importrange(""https://docs.google.com/spreadsheets/d/1arpJoJSlKHkJ-Zn4sJxqp3okt8tUTIYCnkob2xnYiCU/edit?usp=sharing"",""June 2026!$A:$AN""),40,0)+vlookup(A21,importrange(""https://docs.google.com/spreadsheets/d/1arpJoJSlKHkJ-Zn4s"&amp;"Jxqp3okt8tUTIYCnkob2xnYiCU/edit?usp=sharing"",""Current Month!$A:$AN""),40,0)"),0)</f>
        <v>0</v>
      </c>
      <c r="H18" s="7">
        <v>12</v>
      </c>
      <c r="I18" s="8">
        <f t="shared" ca="1" si="1"/>
        <v>7.5</v>
      </c>
      <c r="J18" s="7">
        <f ca="1">IFERROR(__xludf.DUMMYFUNCTION("vlookup(A21,importrange(""https://docs.google.com/spreadsheets/d/1arpJoJSlKHkJ-Zn4sJxqp3okt8tUTIYCnkob2xnYiCU/edit?usp=sharing"",""Jan 2026!$A:$AP""),41,0)+vlookup(A21,importrange(""https://docs.google.com/spreadsheets/d/1arpJoJSlKHkJ-Zn4sJxqp3okt8tUTIYCn"&amp;"kob2xnYiCU/edit?usp=sharing"",""Feb 2026!$A:$AP""),41,0)+vlookup(A21,importrange(""https://docs.google.com/spreadsheets/d/1arpJoJSlKHkJ-Zn4sJxqp3okt8tUTIYCnkob2xnYiCU/edit?usp=sharing"",""Mar 2026!$A:$AP""),41,0)+vlookup(A21,importrange(""https://docs.goo"&amp;"gle.com/spreadsheets/d/1arpJoJSlKHkJ-Zn4sJxqp3okt8tUTIYCnkob2xnYiCU/edit?usp=sharing"",""Current Month!$A:$AP""),41,0)"),24)</f>
        <v>24</v>
      </c>
      <c r="K18" s="9">
        <f ca="1">IFERROR(__xludf.DUMMYFUNCTION("J21/((vlookup(A21,importrange(""https://docs.google.com/spreadsheets/d/1arpJoJSlKHkJ-Zn4sJxqp3okt8tUTIYCnkob2xnYiCU/edit?usp=sharing"",""Jan 2026!$A:$AG""),33,0))+(vlookup(A21,importrange(""https://docs.google.com/spreadsheets/d/1arpJoJSlKHkJ-Zn4sJxqp3okt"&amp;"8tUTIYCnkob2xnYiCU/edit?usp=sharing"",""Feb 2026!$A:$AG""),33,0))+(vlookup(A21,importrange(""https://docs.google.com/spreadsheets/d/1arpJoJSlKHkJ-Zn4sJxqp3okt8tUTIYCnkob2xnYiCU/edit?usp=sharing"",""Mar 2026!$A:$AG""),33,0))+(vlookup(A21,importrange(""http"&amp;"s://docs.google.com/spreadsheets/d/1arpJoJSlKHkJ-Zn4sJxqp3okt8tUTIYCnkob2xnYiCU/edit?usp=sharing"",""Apr 2026!$A:$AG""),33,0))+(vlookup(A21,importrange(""https://docs.google.com/spreadsheets/d/1arpJoJSlKHkJ-Zn4sJxqp3okt8tUTIYCnkob2xnYiCU/edit?usp=sharing"&amp;""",""Current Month!$A:$AG""),33,0)))"),0.277456647398843)</f>
        <v>0.27745664739884301</v>
      </c>
      <c r="L18" s="7">
        <f ca="1">IFERROR(__xludf.DUMMYFUNCTION("vlookup(A21,importrange(""https://docs.google.com/spreadsheets/d/1arpJoJSlKHkJ-Zn4sJxqp3okt8tUTIYCnkob2xnYiCU/edit?usp=sharing"",""Current Month!$A:$AP""),42,0)+vlookup(A21,importrange(""https://docs.google.com/spreadsheets/d/1arpJoJSlKHkJ-Zn4sJxqp3okt8tU"&amp;"TIYCnkob2xnYiCU/edit?usp=sharing"",""Jan 2026!$A:$AP""),42,0)+vlookup(A21,importrange(""https://docs.google.com/spreadsheets/d/1arpJoJSlKHkJ-Zn4sJxqp3okt8tUTIYCnkob2xnYiCU/edit?usp=sharing"",""Feb 2026!$A:$AP""),42,0)+vlookup(A21,importrange(""https://doc"&amp;"s.google.com/spreadsheets/d/1arpJoJSlKHkJ-Zn4sJxqp3okt8tUTIYCnkob2xnYiCU/edit?usp=sharing"",""Mar 2026!$A:$AP""),42,0)+vlookup(A21,importrange(""https://docs.google.com/spreadsheets/d/1arpJoJSlKHkJ-Zn4sJxqp3okt8tUTIYCnkob2xnYiCU/edit?usp=sharing"",""Apr 2"&amp;"026!$A:$AP""),42,0)"),1)</f>
        <v>1</v>
      </c>
    </row>
    <row r="19" spans="1:12" ht="15.75" customHeight="1" x14ac:dyDescent="0.35">
      <c r="A19" s="6" t="s">
        <v>28</v>
      </c>
      <c r="B19" s="7">
        <f ca="1">IFERROR(__xludf.DUMMYFUNCTION("vlookup(A22,importrange(""https://docs.google.com/spreadsheets/d/1arpJoJSlKHkJ-Zn4sJxqp3okt8tUTIYCnkob2xnYiCU/edit?usp=sharing"",""Jan 2026!$A:$AH""),34,0)+vlookup(A22,importrange(""https://docs.google.com/spreadsheets/d/1arpJoJSlKHkJ-Zn4sJxqp3okt8tUTIYCn"&amp;"kob2xnYiCU/edit?usp=sharing"",""Feb 2026!$A:$AH""),34,0)+vlookup(A22,importrange(""https://docs.google.com/spreadsheets/d/1arpJoJSlKHkJ-Zn4sJxqp3okt8tUTIYCnkob2xnYiCU/edit?usp=sharing"",""Mar 2026!$A:$AH""),34,0)+vlookup(A22,importrange(""https://docs.goo"&amp;"gle.com/spreadsheets/d/1arpJoJSlKHkJ-Zn4sJxqp3okt8tUTIYCnkob2xnYiCU/edit?usp=sharing"",""Apr 2026!$A:$AH""),34,0)+vlookup(A22,importrange(""https://docs.google.com/spreadsheets/d/1arpJoJSlKHkJ-Zn4sJxqp3okt8tUTIYCnkob2xnYiCU/edit?usp=sharing"",""May 2026!$"&amp;"A:$AH""),34,0)+vlookup(A22,importrange(""https://docs.google.com/spreadsheets/d/1arpJoJSlKHkJ-Zn4sJxqp3okt8tUTIYCnkob2xnYiCU/edit?usp=sharing"",""June 2026!$A:$AH""),34,0)+vlookup(A22,importrange(""https://docs.google.com/spreadsheets/d/1arpJoJSlKHkJ-Zn4s"&amp;"Jxqp3okt8tUTIYCnkob2xnYiCU/edit?usp=sharing"",""Current Month!$A:$AH""),34,0)"),6)</f>
        <v>6</v>
      </c>
      <c r="C19" s="7">
        <f ca="1">IFERROR(__xludf.DUMMYFUNCTION("vlookup(A22,importrange(""https://docs.google.com/spreadsheets/d/1arpJoJSlKHkJ-Zn4sJxqp3okt8tUTIYCnkob2xnYiCU/edit?usp=sharing"",""Jan 2026!$A:$AI""),35,0)+vlookup(A22,importrange(""https://docs.google.com/spreadsheets/d/1arpJoJSlKHkJ-Zn4sJxqp3okt8tUTIYCn"&amp;"kob2xnYiCU/edit?usp=sharing"",""Feb 2026!$A:$AI""),35,0)+vlookup(A22,importrange(""https://docs.google.com/spreadsheets/d/1arpJoJSlKHkJ-Zn4sJxqp3okt8tUTIYCnkob2xnYiCU/edit?usp=sharing"",""Mar 2026!$A:$AI""),35,0)+vlookup(A22,importrange(""https://docs.goo"&amp;"gle.com/spreadsheets/d/1arpJoJSlKHkJ-Zn4sJxqp3okt8tUTIYCnkob2xnYiCU/edit?usp=sharing"",""Apr 2026!$A:$AI""),35,0)+vlookup(A22,importrange(""https://docs.google.com/spreadsheets/d/1arpJoJSlKHkJ-Zn4sJxqp3okt8tUTIYCnkob2xnYiCU/edit?usp=sharing"",""May 2026!$"&amp;"A:$AI""),35,0)+vlookup(A22,importrange(""https://docs.google.com/spreadsheets/d/1arpJoJSlKHkJ-Zn4sJxqp3okt8tUTIYCnkob2xnYiCU/edit?usp=sharing"",""June 2026!$A:$AI""),35,0)+vlookup(A22,importrange(""https://docs.google.com/spreadsheets/d/1arpJoJSlKHkJ-Zn4s"&amp;"Jxqp3okt8tUTIYCnkob2xnYiCU/edit?usp=sharing"",""Current Month!$A:$AI""),35,0)"),2)</f>
        <v>2</v>
      </c>
      <c r="D19" s="7">
        <f ca="1">IFERROR(__xludf.DUMMYFUNCTION("vlookup(A22,importrange(""https://docs.google.com/spreadsheets/d/1arpJoJSlKHkJ-Zn4sJxqp3okt8tUTIYCnkob2xnYiCU/edit?usp=sharing"",""Jan 2026!$A:$AJ""),36,0)+vlookup(A22,importrange(""https://docs.google.com/spreadsheets/d/1arpJoJSlKHkJ-Zn4sJxqp3okt8tUTIYCn"&amp;"kob2xnYiCU/edit?usp=sharing"",""Feb 2026!$A:$AJ""),36,0)+vlookup(A22,importrange(""https://docs.google.com/spreadsheets/d/1arpJoJSlKHkJ-Zn4sJxqp3okt8tUTIYCnkob2xnYiCU/edit?usp=sharing"",""Mar 2026!$A:$AJ""),36,0)+vlookup(A22,importrange(""https://docs.goo"&amp;"gle.com/spreadsheets/d/1arpJoJSlKHkJ-Zn4sJxqp3okt8tUTIYCnkob2xnYiCU/edit?usp=sharing"",""Apr 2026!$A:$AJ""),36,0)+vlookup(A22,importrange(""https://docs.google.com/spreadsheets/d/1arpJoJSlKHkJ-Zn4sJxqp3okt8tUTIYCnkob2xnYiCU/edit?usp=sharing"",""May 2026!$"&amp;"A:$AJ""),36,0)+vlookup(A22,importrange(""https://docs.google.com/spreadsheets/d/1arpJoJSlKHkJ-Zn4sJxqp3okt8tUTIYCnkob2xnYiCU/edit?usp=sharing"",""June 2026!$A:$AJ""),36,0)+vlookup(A22,importrange(""https://docs.google.com/spreadsheets/d/1arpJoJSlKHkJ-Zn4s"&amp;"Jxqp3okt8tUTIYCnkob2xnYiCU/edit?usp=sharing"",""Current Month!$A:$AJ""),36,0)"),0)</f>
        <v>0</v>
      </c>
      <c r="E19" s="7">
        <f ca="1">IFERROR(__xludf.DUMMYFUNCTION("vlookup(A22,importrange(""https://docs.google.com/spreadsheets/d/1arpJoJSlKHkJ-Zn4sJxqp3okt8tUTIYCnkob2xnYiCU/edit?usp=sharing"",""Jan 2026!$A:$AK""),37,0)+vlookup(A22,importrange(""https://docs.google.com/spreadsheets/d/1arpJoJSlKHkJ-Zn4sJxqp3okt8tUTIYCn"&amp;"kob2xnYiCU/edit?usp=sharing"",""Feb 2026!$A:$AK""),37,0)+vlookup(A22,importrange(""https://docs.google.com/spreadsheets/d/1arpJoJSlKHkJ-Zn4sJxqp3okt8tUTIYCnkob2xnYiCU/edit?usp=sharing"",""Mar 2026!$A:$AK""),37,0)+vlookup(A22,importrange(""https://docs.goo"&amp;"gle.com/spreadsheets/d/1arpJoJSlKHkJ-Zn4sJxqp3okt8tUTIYCnkob2xnYiCU/edit?usp=sharing"",""Apr 2026!$A:$AK""),37,0)+vlookup(A22,importrange(""https://docs.google.com/spreadsheets/d/1arpJoJSlKHkJ-Zn4sJxqp3okt8tUTIYCnkob2xnYiCU/edit?usp=sharing"",""May 2026!$"&amp;"A:$AK""),37,0)+vlookup(A22,importrange(""https://docs.google.com/spreadsheets/d/1arpJoJSlKHkJ-Zn4sJxqp3okt8tUTIYCnkob2xnYiCU/edit?usp=sharing"",""June 2026!$A:$AK""),37,0)+vlookup(A22,importrange(""https://docs.google.com/spreadsheets/d/1arpJoJSlKHkJ-Zn4s"&amp;"Jxqp3okt8tUTIYCnkob2xnYiCU/edit?usp=sharing"",""Current Month!$A:$AK""),37,0)"),0)</f>
        <v>0</v>
      </c>
      <c r="F19" s="7">
        <f t="shared" ca="1" si="0"/>
        <v>1</v>
      </c>
      <c r="G19" s="7">
        <f ca="1">IFERROR(__xludf.DUMMYFUNCTION("vlookup(A22,importrange(""https://docs.google.com/spreadsheets/d/1arpJoJSlKHkJ-Zn4sJxqp3okt8tUTIYCnkob2xnYiCU/edit?usp=sharing"",""Jan 2026!$A:$AN""),40,0)+vlookup(A22,importrange(""https://docs.google.com/spreadsheets/d/1arpJoJSlKHkJ-Zn4sJxqp3okt8tUTIYCn"&amp;"kob2xnYiCU/edit?usp=sharing"",""Feb 2026!$A:$AN""),40,0)+vlookup(A22,importrange(""https://docs.google.com/spreadsheets/d/1arpJoJSlKHkJ-Zn4sJxqp3okt8tUTIYCnkob2xnYiCU/edit?usp=sharing"",""Mar 2026!$A:$AN""),40,0)+vlookup(A22,importrange(""https://docs.goo"&amp;"gle.com/spreadsheets/d/1arpJoJSlKHkJ-Zn4sJxqp3okt8tUTIYCnkob2xnYiCU/edit?usp=sharing"",""Apr 2026!$A:$AN""),40,0)+vlookup(A22,importrange(""https://docs.google.com/spreadsheets/d/1arpJoJSlKHkJ-Zn4sJxqp3okt8tUTIYCnkob2xnYiCU/edit?usp=sharing"",""May 2026!$"&amp;"A:$AN""),40,0)+vlookup(A22,importrange(""https://docs.google.com/spreadsheets/d/1arpJoJSlKHkJ-Zn4sJxqp3okt8tUTIYCnkob2xnYiCU/edit?usp=sharing"",""June 2026!$A:$AN""),40,0)+vlookup(A22,importrange(""https://docs.google.com/spreadsheets/d/1arpJoJSlKHkJ-Zn4s"&amp;"Jxqp3okt8tUTIYCnkob2xnYiCU/edit?usp=sharing"",""Current Month!$A:$AN""),40,0)"),3)</f>
        <v>3</v>
      </c>
      <c r="H19" s="7">
        <v>12</v>
      </c>
      <c r="I19" s="8">
        <f t="shared" ca="1" si="1"/>
        <v>13</v>
      </c>
      <c r="J19" s="7">
        <f ca="1">IFERROR(__xludf.DUMMYFUNCTION("vlookup(A22,importrange(""https://docs.google.com/spreadsheets/d/1arpJoJSlKHkJ-Zn4sJxqp3okt8tUTIYCnkob2xnYiCU/edit?usp=sharing"",""Jan 2026!$A:$AP""),41,0)+vlookup(A22,importrange(""https://docs.google.com/spreadsheets/d/1arpJoJSlKHkJ-Zn4sJxqp3okt8tUTIYCn"&amp;"kob2xnYiCU/edit?usp=sharing"",""Feb 2026!$A:$AP""),41,0)+vlookup(A22,importrange(""https://docs.google.com/spreadsheets/d/1arpJoJSlKHkJ-Zn4sJxqp3okt8tUTIYCnkob2xnYiCU/edit?usp=sharing"",""Mar 2026!$A:$AP""),41,0)+vlookup(A22,importrange(""https://docs.goo"&amp;"gle.com/spreadsheets/d/1arpJoJSlKHkJ-Zn4sJxqp3okt8tUTIYCnkob2xnYiCU/edit?usp=sharing"",""Current Month!$A:$AP""),41,0)"),4)</f>
        <v>4</v>
      </c>
      <c r="K19" s="9">
        <f ca="1">IFERROR(__xludf.DUMMYFUNCTION("J22/((vlookup(A22,importrange(""https://docs.google.com/spreadsheets/d/1arpJoJSlKHkJ-Zn4sJxqp3okt8tUTIYCnkob2xnYiCU/edit?usp=sharing"",""Jan 2026!$A:$AG""),33,0))+(vlookup(A22,importrange(""https://docs.google.com/spreadsheets/d/1arpJoJSlKHkJ-Zn4sJxqp3okt"&amp;"8tUTIYCnkob2xnYiCU/edit?usp=sharing"",""Feb 2026!$A:$AG""),33,0))+(vlookup(A22,importrange(""https://docs.google.com/spreadsheets/d/1arpJoJSlKHkJ-Zn4sJxqp3okt8tUTIYCnkob2xnYiCU/edit?usp=sharing"",""Mar 2026!$A:$AG""),33,0))+(vlookup(A22,importrange(""http"&amp;"s://docs.google.com/spreadsheets/d/1arpJoJSlKHkJ-Zn4sJxqp3okt8tUTIYCnkob2xnYiCU/edit?usp=sharing"",""Apr 2026!$A:$AG""),33,0))+(vlookup(A22,importrange(""https://docs.google.com/spreadsheets/d/1arpJoJSlKHkJ-Zn4sJxqp3okt8tUTIYCnkob2xnYiCU/edit?usp=sharing"&amp;""",""Current Month!$A:$AG""),33,0)))"),0.0439560439560439)</f>
        <v>4.3956043956043897E-2</v>
      </c>
      <c r="L19" s="7">
        <f ca="1">IFERROR(__xludf.DUMMYFUNCTION("vlookup(A22,importrange(""https://docs.google.com/spreadsheets/d/1arpJoJSlKHkJ-Zn4sJxqp3okt8tUTIYCnkob2xnYiCU/edit?usp=sharing"",""Current Month!$A:$AP""),42,0)+vlookup(A22,importrange(""https://docs.google.com/spreadsheets/d/1arpJoJSlKHkJ-Zn4sJxqp3okt8tU"&amp;"TIYCnkob2xnYiCU/edit?usp=sharing"",""Jan 2026!$A:$AP""),42,0)+vlookup(A22,importrange(""https://docs.google.com/spreadsheets/d/1arpJoJSlKHkJ-Zn4sJxqp3okt8tUTIYCnkob2xnYiCU/edit?usp=sharing"",""Feb 2026!$A:$AP""),42,0)+vlookup(A22,importrange(""https://doc"&amp;"s.google.com/spreadsheets/d/1arpJoJSlKHkJ-Zn4sJxqp3okt8tUTIYCnkob2xnYiCU/edit?usp=sharing"",""Mar 2026!$A:$AP""),42,0)+vlookup(A22,importrange(""https://docs.google.com/spreadsheets/d/1arpJoJSlKHkJ-Zn4sJxqp3okt8tUTIYCnkob2xnYiCU/edit?usp=sharing"",""Apr 2"&amp;"026!$A:$AP""),42,0)"),2)</f>
        <v>2</v>
      </c>
    </row>
    <row r="20" spans="1:12" ht="15.75" customHeight="1" x14ac:dyDescent="0.35">
      <c r="A20" s="6" t="s">
        <v>29</v>
      </c>
      <c r="B20" s="7">
        <f ca="1">IFERROR(__xludf.DUMMYFUNCTION("vlookup(A23,importrange(""https://docs.google.com/spreadsheets/d/1arpJoJSlKHkJ-Zn4sJxqp3okt8tUTIYCnkob2xnYiCU/edit?usp=sharing"",""Jan 2026!$A:$AH""),34,0)+vlookup(A23,importrange(""https://docs.google.com/spreadsheets/d/1arpJoJSlKHkJ-Zn4sJxqp3okt8tUTIYCn"&amp;"kob2xnYiCU/edit?usp=sharing"",""Feb 2026!$A:$AH""),34,0)+vlookup(A23,importrange(""https://docs.google.com/spreadsheets/d/1arpJoJSlKHkJ-Zn4sJxqp3okt8tUTIYCnkob2xnYiCU/edit?usp=sharing"",""Mar 2026!$A:$AH""),34,0)+vlookup(A23,importrange(""https://docs.goo"&amp;"gle.com/spreadsheets/d/1arpJoJSlKHkJ-Zn4sJxqp3okt8tUTIYCnkob2xnYiCU/edit?usp=sharing"",""Apr 2026!$A:$AH""),34,0)+vlookup(A23,importrange(""https://docs.google.com/spreadsheets/d/1arpJoJSlKHkJ-Zn4sJxqp3okt8tUTIYCnkob2xnYiCU/edit?usp=sharing"",""May 2026!$"&amp;"A:$AH""),34,0)+vlookup(A23,importrange(""https://docs.google.com/spreadsheets/d/1arpJoJSlKHkJ-Zn4sJxqp3okt8tUTIYCnkob2xnYiCU/edit?usp=sharing"",""June 2026!$A:$AH""),34,0)+vlookup(A23,importrange(""https://docs.google.com/spreadsheets/d/1arpJoJSlKHkJ-Zn4s"&amp;"Jxqp3okt8tUTIYCnkob2xnYiCU/edit?usp=sharing"",""Current Month!$A:$AH""),34,0)"),8)</f>
        <v>8</v>
      </c>
      <c r="C20" s="7">
        <f ca="1">IFERROR(__xludf.DUMMYFUNCTION("vlookup(A23,importrange(""https://docs.google.com/spreadsheets/d/1arpJoJSlKHkJ-Zn4sJxqp3okt8tUTIYCnkob2xnYiCU/edit?usp=sharing"",""Jan 2026!$A:$AI""),35,0)+vlookup(A23,importrange(""https://docs.google.com/spreadsheets/d/1arpJoJSlKHkJ-Zn4sJxqp3okt8tUTIYCn"&amp;"kob2xnYiCU/edit?usp=sharing"",""Feb 2026!$A:$AI""),35,0)+vlookup(A23,importrange(""https://docs.google.com/spreadsheets/d/1arpJoJSlKHkJ-Zn4sJxqp3okt8tUTIYCnkob2xnYiCU/edit?usp=sharing"",""Mar 2026!$A:$AI""),35,0)+vlookup(A23,importrange(""https://docs.goo"&amp;"gle.com/spreadsheets/d/1arpJoJSlKHkJ-Zn4sJxqp3okt8tUTIYCnkob2xnYiCU/edit?usp=sharing"",""Apr 2026!$A:$AI""),35,0)+vlookup(A23,importrange(""https://docs.google.com/spreadsheets/d/1arpJoJSlKHkJ-Zn4sJxqp3okt8tUTIYCnkob2xnYiCU/edit?usp=sharing"",""May 2026!$"&amp;"A:$AI""),35,0)+vlookup(A23,importrange(""https://docs.google.com/spreadsheets/d/1arpJoJSlKHkJ-Zn4sJxqp3okt8tUTIYCnkob2xnYiCU/edit?usp=sharing"",""June 2026!$A:$AI""),35,0)+vlookup(A23,importrange(""https://docs.google.com/spreadsheets/d/1arpJoJSlKHkJ-Zn4s"&amp;"Jxqp3okt8tUTIYCnkob2xnYiCU/edit?usp=sharing"",""Current Month!$A:$AI""),35,0)"),4)</f>
        <v>4</v>
      </c>
      <c r="D20" s="7">
        <f ca="1">IFERROR(__xludf.DUMMYFUNCTION("vlookup(A23,importrange(""https://docs.google.com/spreadsheets/d/1arpJoJSlKHkJ-Zn4sJxqp3okt8tUTIYCnkob2xnYiCU/edit?usp=sharing"",""Jan 2026!$A:$AJ""),36,0)+vlookup(A23,importrange(""https://docs.google.com/spreadsheets/d/1arpJoJSlKHkJ-Zn4sJxqp3okt8tUTIYCn"&amp;"kob2xnYiCU/edit?usp=sharing"",""Feb 2026!$A:$AJ""),36,0)+vlookup(A23,importrange(""https://docs.google.com/spreadsheets/d/1arpJoJSlKHkJ-Zn4sJxqp3okt8tUTIYCnkob2xnYiCU/edit?usp=sharing"",""Mar 2026!$A:$AJ""),36,0)+vlookup(A23,importrange(""https://docs.goo"&amp;"gle.com/spreadsheets/d/1arpJoJSlKHkJ-Zn4sJxqp3okt8tUTIYCnkob2xnYiCU/edit?usp=sharing"",""Apr 2026!$A:$AJ""),36,0)+vlookup(A23,importrange(""https://docs.google.com/spreadsheets/d/1arpJoJSlKHkJ-Zn4sJxqp3okt8tUTIYCnkob2xnYiCU/edit?usp=sharing"",""May 2026!$"&amp;"A:$AJ""),36,0)+vlookup(A23,importrange(""https://docs.google.com/spreadsheets/d/1arpJoJSlKHkJ-Zn4sJxqp3okt8tUTIYCnkob2xnYiCU/edit?usp=sharing"",""June 2026!$A:$AJ""),36,0)+vlookup(A23,importrange(""https://docs.google.com/spreadsheets/d/1arpJoJSlKHkJ-Zn4s"&amp;"Jxqp3okt8tUTIYCnkob2xnYiCU/edit?usp=sharing"",""Current Month!$A:$AJ""),36,0)"),0)</f>
        <v>0</v>
      </c>
      <c r="E20" s="7">
        <f ca="1">IFERROR(__xludf.DUMMYFUNCTION("vlookup(A23,importrange(""https://docs.google.com/spreadsheets/d/1arpJoJSlKHkJ-Zn4sJxqp3okt8tUTIYCnkob2xnYiCU/edit?usp=sharing"",""Jan 2026!$A:$AK""),37,0)+vlookup(A23,importrange(""https://docs.google.com/spreadsheets/d/1arpJoJSlKHkJ-Zn4sJxqp3okt8tUTIYCn"&amp;"kob2xnYiCU/edit?usp=sharing"",""Feb 2026!$A:$AK""),37,0)+vlookup(A23,importrange(""https://docs.google.com/spreadsheets/d/1arpJoJSlKHkJ-Zn4sJxqp3okt8tUTIYCnkob2xnYiCU/edit?usp=sharing"",""Mar 2026!$A:$AK""),37,0)+vlookup(A23,importrange(""https://docs.goo"&amp;"gle.com/spreadsheets/d/1arpJoJSlKHkJ-Zn4sJxqp3okt8tUTIYCnkob2xnYiCU/edit?usp=sharing"",""Apr 2026!$A:$AK""),37,0)+vlookup(A23,importrange(""https://docs.google.com/spreadsheets/d/1arpJoJSlKHkJ-Zn4sJxqp3okt8tUTIYCnkob2xnYiCU/edit?usp=sharing"",""May 2026!$"&amp;"A:$AK""),37,0)+vlookup(A23,importrange(""https://docs.google.com/spreadsheets/d/1arpJoJSlKHkJ-Zn4sJxqp3okt8tUTIYCnkob2xnYiCU/edit?usp=sharing"",""June 2026!$A:$AK""),37,0)+vlookup(A23,importrange(""https://docs.google.com/spreadsheets/d/1arpJoJSlKHkJ-Zn4s"&amp;"Jxqp3okt8tUTIYCnkob2xnYiCU/edit?usp=sharing"",""Current Month!$A:$AK""),37,0)"),0)</f>
        <v>0</v>
      </c>
      <c r="F20" s="7">
        <f t="shared" ca="1" si="0"/>
        <v>4</v>
      </c>
      <c r="G20" s="7">
        <f ca="1">IFERROR(__xludf.DUMMYFUNCTION("vlookup(A23,importrange(""https://docs.google.com/spreadsheets/d/1arpJoJSlKHkJ-Zn4sJxqp3okt8tUTIYCnkob2xnYiCU/edit?usp=sharing"",""Jan 2026!$A:$AN""),40,0)+vlookup(A23,importrange(""https://docs.google.com/spreadsheets/d/1arpJoJSlKHkJ-Zn4sJxqp3okt8tUTIYCn"&amp;"kob2xnYiCU/edit?usp=sharing"",""Feb 2026!$A:$AN""),40,0)+vlookup(A23,importrange(""https://docs.google.com/spreadsheets/d/1arpJoJSlKHkJ-Zn4sJxqp3okt8tUTIYCnkob2xnYiCU/edit?usp=sharing"",""Mar 2026!$A:$AN""),40,0)+vlookup(A23,importrange(""https://docs.goo"&amp;"gle.com/spreadsheets/d/1arpJoJSlKHkJ-Zn4sJxqp3okt8tUTIYCnkob2xnYiCU/edit?usp=sharing"",""Apr 2026!$A:$AN""),40,0)+vlookup(A23,importrange(""https://docs.google.com/spreadsheets/d/1arpJoJSlKHkJ-Zn4sJxqp3okt8tUTIYCnkob2xnYiCU/edit?usp=sharing"",""May 2026!$"&amp;"A:$AN""),40,0)+vlookup(A23,importrange(""https://docs.google.com/spreadsheets/d/1arpJoJSlKHkJ-Zn4sJxqp3okt8tUTIYCnkob2xnYiCU/edit?usp=sharing"",""June 2026!$A:$AN""),40,0)+vlookup(A23,importrange(""https://docs.google.com/spreadsheets/d/1arpJoJSlKHkJ-Zn4s"&amp;"Jxqp3okt8tUTIYCnkob2xnYiCU/edit?usp=sharing"",""Current Month!$A:$AN""),40,0)"),0)</f>
        <v>0</v>
      </c>
      <c r="H20" s="7">
        <v>12</v>
      </c>
      <c r="I20" s="8">
        <f t="shared" ca="1" si="1"/>
        <v>9</v>
      </c>
      <c r="J20" s="7">
        <f ca="1">IFERROR(__xludf.DUMMYFUNCTION("vlookup(A23,importrange(""https://docs.google.com/spreadsheets/d/1arpJoJSlKHkJ-Zn4sJxqp3okt8tUTIYCnkob2xnYiCU/edit?usp=sharing"",""Jan 2026!$A:$AP""),41,0)+vlookup(A23,importrange(""https://docs.google.com/spreadsheets/d/1arpJoJSlKHkJ-Zn4sJxqp3okt8tUTIYCn"&amp;"kob2xnYiCU/edit?usp=sharing"",""Feb 2026!$A:$AP""),41,0)+vlookup(A23,importrange(""https://docs.google.com/spreadsheets/d/1arpJoJSlKHkJ-Zn4sJxqp3okt8tUTIYCnkob2xnYiCU/edit?usp=sharing"",""Mar 2026!$A:$AP""),41,0)+vlookup(A23,importrange(""https://docs.goo"&amp;"gle.com/spreadsheets/d/1arpJoJSlKHkJ-Zn4sJxqp3okt8tUTIYCnkob2xnYiCU/edit?usp=sharing"",""Current Month!$A:$AP""),41,0)"),5)</f>
        <v>5</v>
      </c>
      <c r="K20" s="9">
        <f ca="1">IFERROR(__xludf.DUMMYFUNCTION("J23/((vlookup(A23,importrange(""https://docs.google.com/spreadsheets/d/1arpJoJSlKHkJ-Zn4sJxqp3okt8tUTIYCnkob2xnYiCU/edit?usp=sharing"",""Jan 2026!$A:$AG""),33,0))+(vlookup(A23,importrange(""https://docs.google.com/spreadsheets/d/1arpJoJSlKHkJ-Zn4sJxqp3okt"&amp;"8tUTIYCnkob2xnYiCU/edit?usp=sharing"",""Feb 2026!$A:$AG""),33,0))+(vlookup(A23,importrange(""https://docs.google.com/spreadsheets/d/1arpJoJSlKHkJ-Zn4sJxqp3okt8tUTIYCnkob2xnYiCU/edit?usp=sharing"",""Mar 2026!$A:$AG""),33,0))+(vlookup(A23,importrange(""http"&amp;"s://docs.google.com/spreadsheets/d/1arpJoJSlKHkJ-Zn4sJxqp3okt8tUTIYCnkob2xnYiCU/edit?usp=sharing"",""Apr 2026!$A:$AG""),33,0))+(vlookup(A23,importrange(""https://docs.google.com/spreadsheets/d/1arpJoJSlKHkJ-Zn4sJxqp3okt8tUTIYCnkob2xnYiCU/edit?usp=sharing"&amp;""",""Current Month!$A:$AG""),33,0)))"),0.0568181818181818)</f>
        <v>5.6818181818181802E-2</v>
      </c>
      <c r="L20" s="7">
        <f ca="1">IFERROR(__xludf.DUMMYFUNCTION("vlookup(A23,importrange(""https://docs.google.com/spreadsheets/d/1arpJoJSlKHkJ-Zn4sJxqp3okt8tUTIYCnkob2xnYiCU/edit?usp=sharing"",""Current Month!$A:$AP""),42,0)+vlookup(A23,importrange(""https://docs.google.com/spreadsheets/d/1arpJoJSlKHkJ-Zn4sJxqp3okt8tU"&amp;"TIYCnkob2xnYiCU/edit?usp=sharing"",""Jan 2026!$A:$AP""),42,0)+vlookup(A23,importrange(""https://docs.google.com/spreadsheets/d/1arpJoJSlKHkJ-Zn4sJxqp3okt8tUTIYCnkob2xnYiCU/edit?usp=sharing"",""Feb 2026!$A:$AP""),42,0)+vlookup(A23,importrange(""https://doc"&amp;"s.google.com/spreadsheets/d/1arpJoJSlKHkJ-Zn4sJxqp3okt8tUTIYCnkob2xnYiCU/edit?usp=sharing"",""Mar 2026!$A:$AP""),42,0)+vlookup(A23,importrange(""https://docs.google.com/spreadsheets/d/1arpJoJSlKHkJ-Zn4sJxqp3okt8tUTIYCnkob2xnYiCU/edit?usp=sharing"",""Apr 2"&amp;"026!$A:$AP""),42,0)"),1)</f>
        <v>1</v>
      </c>
    </row>
    <row r="21" spans="1:12" ht="15.75" customHeight="1" x14ac:dyDescent="0.35">
      <c r="A21" s="6" t="s">
        <v>30</v>
      </c>
      <c r="B21" s="7">
        <f ca="1">IFERROR(__xludf.DUMMYFUNCTION("vlookup(A24,importrange(""https://docs.google.com/spreadsheets/d/1arpJoJSlKHkJ-Zn4sJxqp3okt8tUTIYCnkob2xnYiCU/edit?usp=sharing"",""Jan 2026!$A:$AH""),34,0)+vlookup(A24,importrange(""https://docs.google.com/spreadsheets/d/1arpJoJSlKHkJ-Zn4sJxqp3okt8tUTIYCn"&amp;"kob2xnYiCU/edit?usp=sharing"",""Feb 2026!$A:$AH""),34,0)+vlookup(A24,importrange(""https://docs.google.com/spreadsheets/d/1arpJoJSlKHkJ-Zn4sJxqp3okt8tUTIYCnkob2xnYiCU/edit?usp=sharing"",""Mar 2026!$A:$AH""),34,0)+vlookup(A24,importrange(""https://docs.goo"&amp;"gle.com/spreadsheets/d/1arpJoJSlKHkJ-Zn4sJxqp3okt8tUTIYCnkob2xnYiCU/edit?usp=sharing"",""Apr 2026!$A:$AH""),34,0)+vlookup(A24,importrange(""https://docs.google.com/spreadsheets/d/1arpJoJSlKHkJ-Zn4sJxqp3okt8tUTIYCnkob2xnYiCU/edit?usp=sharing"",""May 2026!$"&amp;"A:$AH""),34,0)+vlookup(A24,importrange(""https://docs.google.com/spreadsheets/d/1arpJoJSlKHkJ-Zn4sJxqp3okt8tUTIYCnkob2xnYiCU/edit?usp=sharing"",""June 2026!$A:$AH""),34,0)+vlookup(A24,importrange(""https://docs.google.com/spreadsheets/d/1arpJoJSlKHkJ-Zn4s"&amp;"Jxqp3okt8tUTIYCnkob2xnYiCU/edit?usp=sharing"",""Current Month!$A:$AH""),34,0)"),7)</f>
        <v>7</v>
      </c>
      <c r="C21" s="7">
        <f ca="1">IFERROR(__xludf.DUMMYFUNCTION("vlookup(A24,importrange(""https://docs.google.com/spreadsheets/d/1arpJoJSlKHkJ-Zn4sJxqp3okt8tUTIYCnkob2xnYiCU/edit?usp=sharing"",""Jan 2026!$A:$AI""),35,0)+vlookup(A24,importrange(""https://docs.google.com/spreadsheets/d/1arpJoJSlKHkJ-Zn4sJxqp3okt8tUTIYCn"&amp;"kob2xnYiCU/edit?usp=sharing"",""Feb 2026!$A:$AI""),35,0)+vlookup(A24,importrange(""https://docs.google.com/spreadsheets/d/1arpJoJSlKHkJ-Zn4sJxqp3okt8tUTIYCnkob2xnYiCU/edit?usp=sharing"",""Mar 2026!$A:$AI""),35,0)+vlookup(A24,importrange(""https://docs.goo"&amp;"gle.com/spreadsheets/d/1arpJoJSlKHkJ-Zn4sJxqp3okt8tUTIYCnkob2xnYiCU/edit?usp=sharing"",""Apr 2026!$A:$AI""),35,0)+vlookup(A24,importrange(""https://docs.google.com/spreadsheets/d/1arpJoJSlKHkJ-Zn4sJxqp3okt8tUTIYCnkob2xnYiCU/edit?usp=sharing"",""May 2026!$"&amp;"A:$AI""),35,0)+vlookup(A24,importrange(""https://docs.google.com/spreadsheets/d/1arpJoJSlKHkJ-Zn4sJxqp3okt8tUTIYCnkob2xnYiCU/edit?usp=sharing"",""June 2026!$A:$AI""),35,0)+vlookup(A24,importrange(""https://docs.google.com/spreadsheets/d/1arpJoJSlKHkJ-Zn4s"&amp;"Jxqp3okt8tUTIYCnkob2xnYiCU/edit?usp=sharing"",""Current Month!$A:$AI""),35,0)"),5)</f>
        <v>5</v>
      </c>
      <c r="D21" s="7">
        <f ca="1">IFERROR(__xludf.DUMMYFUNCTION("vlookup(A24,importrange(""https://docs.google.com/spreadsheets/d/1arpJoJSlKHkJ-Zn4sJxqp3okt8tUTIYCnkob2xnYiCU/edit?usp=sharing"",""Jan 2026!$A:$AJ""),36,0)+vlookup(A24,importrange(""https://docs.google.com/spreadsheets/d/1arpJoJSlKHkJ-Zn4sJxqp3okt8tUTIYCn"&amp;"kob2xnYiCU/edit?usp=sharing"",""Feb 2026!$A:$AJ""),36,0)+vlookup(A24,importrange(""https://docs.google.com/spreadsheets/d/1arpJoJSlKHkJ-Zn4sJxqp3okt8tUTIYCnkob2xnYiCU/edit?usp=sharing"",""Mar 2026!$A:$AJ""),36,0)+vlookup(A24,importrange(""https://docs.goo"&amp;"gle.com/spreadsheets/d/1arpJoJSlKHkJ-Zn4sJxqp3okt8tUTIYCnkob2xnYiCU/edit?usp=sharing"",""Apr 2026!$A:$AJ""),36,0)+vlookup(A24,importrange(""https://docs.google.com/spreadsheets/d/1arpJoJSlKHkJ-Zn4sJxqp3okt8tUTIYCnkob2xnYiCU/edit?usp=sharing"",""May 2026!$"&amp;"A:$AJ""),36,0)+vlookup(A24,importrange(""https://docs.google.com/spreadsheets/d/1arpJoJSlKHkJ-Zn4sJxqp3okt8tUTIYCnkob2xnYiCU/edit?usp=sharing"",""June 2026!$A:$AJ""),36,0)+vlookup(A24,importrange(""https://docs.google.com/spreadsheets/d/1arpJoJSlKHkJ-Zn4s"&amp;"Jxqp3okt8tUTIYCnkob2xnYiCU/edit?usp=sharing"",""Current Month!$A:$AJ""),36,0)"),0)</f>
        <v>0</v>
      </c>
      <c r="E21" s="7">
        <f ca="1">IFERROR(__xludf.DUMMYFUNCTION("vlookup(A24,importrange(""https://docs.google.com/spreadsheets/d/1arpJoJSlKHkJ-Zn4sJxqp3okt8tUTIYCnkob2xnYiCU/edit?usp=sharing"",""Jan 2026!$A:$AK""),37,0)+vlookup(A24,importrange(""https://docs.google.com/spreadsheets/d/1arpJoJSlKHkJ-Zn4sJxqp3okt8tUTIYCn"&amp;"kob2xnYiCU/edit?usp=sharing"",""Feb 2026!$A:$AK""),37,0)+vlookup(A24,importrange(""https://docs.google.com/spreadsheets/d/1arpJoJSlKHkJ-Zn4sJxqp3okt8tUTIYCnkob2xnYiCU/edit?usp=sharing"",""Mar 2026!$A:$AK""),37,0)+vlookup(A24,importrange(""https://docs.goo"&amp;"gle.com/spreadsheets/d/1arpJoJSlKHkJ-Zn4sJxqp3okt8tUTIYCnkob2xnYiCU/edit?usp=sharing"",""Apr 2026!$A:$AK""),37,0)+vlookup(A24,importrange(""https://docs.google.com/spreadsheets/d/1arpJoJSlKHkJ-Zn4sJxqp3okt8tUTIYCnkob2xnYiCU/edit?usp=sharing"",""May 2026!$"&amp;"A:$AK""),37,0)+vlookup(A24,importrange(""https://docs.google.com/spreadsheets/d/1arpJoJSlKHkJ-Zn4sJxqp3okt8tUTIYCnkob2xnYiCU/edit?usp=sharing"",""June 2026!$A:$AK""),37,0)+vlookup(A24,importrange(""https://docs.google.com/spreadsheets/d/1arpJoJSlKHkJ-Zn4s"&amp;"Jxqp3okt8tUTIYCnkob2xnYiCU/edit?usp=sharing"",""Current Month!$A:$AK""),37,0)"),0)</f>
        <v>0</v>
      </c>
      <c r="F21" s="7">
        <f t="shared" ca="1" si="0"/>
        <v>2</v>
      </c>
      <c r="G21" s="7">
        <f ca="1">IFERROR(__xludf.DUMMYFUNCTION("vlookup(A24,importrange(""https://docs.google.com/spreadsheets/d/1arpJoJSlKHkJ-Zn4sJxqp3okt8tUTIYCnkob2xnYiCU/edit?usp=sharing"",""Jan 2026!$A:$AN""),40,0)+vlookup(A24,importrange(""https://docs.google.com/spreadsheets/d/1arpJoJSlKHkJ-Zn4sJxqp3okt8tUTIYCn"&amp;"kob2xnYiCU/edit?usp=sharing"",""Feb 2026!$A:$AN""),40,0)+vlookup(A24,importrange(""https://docs.google.com/spreadsheets/d/1arpJoJSlKHkJ-Zn4sJxqp3okt8tUTIYCnkob2xnYiCU/edit?usp=sharing"",""Mar 2026!$A:$AN""),40,0)+vlookup(A24,importrange(""https://docs.goo"&amp;"gle.com/spreadsheets/d/1arpJoJSlKHkJ-Zn4sJxqp3okt8tUTIYCnkob2xnYiCU/edit?usp=sharing"",""Apr 2026!$A:$AN""),40,0)+vlookup(A24,importrange(""https://docs.google.com/spreadsheets/d/1arpJoJSlKHkJ-Zn4sJxqp3okt8tUTIYCnkob2xnYiCU/edit?usp=sharing"",""May 2026!$"&amp;"A:$AN""),40,0)+vlookup(A24,importrange(""https://docs.google.com/spreadsheets/d/1arpJoJSlKHkJ-Zn4sJxqp3okt8tUTIYCnkob2xnYiCU/edit?usp=sharing"",""June 2026!$A:$AN""),40,0)+vlookup(A24,importrange(""https://docs.google.com/spreadsheets/d/1arpJoJSlKHkJ-Zn4s"&amp;"Jxqp3okt8tUTIYCnkob2xnYiCU/edit?usp=sharing"",""Current Month!$A:$AN""),40,0)"),2)</f>
        <v>2</v>
      </c>
      <c r="H21" s="7">
        <v>12</v>
      </c>
      <c r="I21" s="8">
        <f t="shared" ca="1" si="1"/>
        <v>9</v>
      </c>
      <c r="J21" s="7">
        <f ca="1">IFERROR(__xludf.DUMMYFUNCTION("vlookup(A24,importrange(""https://docs.google.com/spreadsheets/d/1arpJoJSlKHkJ-Zn4sJxqp3okt8tUTIYCnkob2xnYiCU/edit?usp=sharing"",""Jan 2026!$A:$AP""),41,0)+vlookup(A24,importrange(""https://docs.google.com/spreadsheets/d/1arpJoJSlKHkJ-Zn4sJxqp3okt8tUTIYCn"&amp;"kob2xnYiCU/edit?usp=sharing"",""Feb 2026!$A:$AP""),41,0)+vlookup(A24,importrange(""https://docs.google.com/spreadsheets/d/1arpJoJSlKHkJ-Zn4sJxqp3okt8tUTIYCnkob2xnYiCU/edit?usp=sharing"",""Mar 2026!$A:$AP""),41,0)+vlookup(A24,importrange(""https://docs.goo"&amp;"gle.com/spreadsheets/d/1arpJoJSlKHkJ-Zn4sJxqp3okt8tUTIYCnkob2xnYiCU/edit?usp=sharing"",""Current Month!$A:$AP""),41,0)"),1)</f>
        <v>1</v>
      </c>
      <c r="K21" s="9">
        <f ca="1">IFERROR(__xludf.DUMMYFUNCTION("J24/((vlookup(A24,importrange(""https://docs.google.com/spreadsheets/d/1arpJoJSlKHkJ-Zn4sJxqp3okt8tUTIYCnkob2xnYiCU/edit?usp=sharing"",""Jan 2026!$A:$AG""),33,0))+(vlookup(A24,importrange(""https://docs.google.com/spreadsheets/d/1arpJoJSlKHkJ-Zn4sJxqp3okt"&amp;"8tUTIYCnkob2xnYiCU/edit?usp=sharing"",""Feb 2026!$A:$AG""),33,0))+(vlookup(A24,importrange(""https://docs.google.com/spreadsheets/d/1arpJoJSlKHkJ-Zn4sJxqp3okt8tUTIYCnkob2xnYiCU/edit?usp=sharing"",""Mar 2026!$A:$AG""),33,0))+(vlookup(A24,importrange(""http"&amp;"s://docs.google.com/spreadsheets/d/1arpJoJSlKHkJ-Zn4sJxqp3okt8tUTIYCnkob2xnYiCU/edit?usp=sharing"",""Apr 2026!$A:$AG""),33,0))+(vlookup(A24,importrange(""https://docs.google.com/spreadsheets/d/1arpJoJSlKHkJ-Zn4sJxqp3okt8tUTIYCnkob2xnYiCU/edit?usp=sharing"&amp;""",""Current Month!$A:$AG""),33,0)))"),0.0113636363636363)</f>
        <v>1.13636363636363E-2</v>
      </c>
      <c r="L21" s="7">
        <f ca="1">IFERROR(__xludf.DUMMYFUNCTION("vlookup(A24,importrange(""https://docs.google.com/spreadsheets/d/1arpJoJSlKHkJ-Zn4sJxqp3okt8tUTIYCnkob2xnYiCU/edit?usp=sharing"",""Current Month!$A:$AP""),42,0)+vlookup(A24,importrange(""https://docs.google.com/spreadsheets/d/1arpJoJSlKHkJ-Zn4sJxqp3okt8tU"&amp;"TIYCnkob2xnYiCU/edit?usp=sharing"",""Jan 2026!$A:$AP""),42,0)+vlookup(A24,importrange(""https://docs.google.com/spreadsheets/d/1arpJoJSlKHkJ-Zn4sJxqp3okt8tUTIYCnkob2xnYiCU/edit?usp=sharing"",""Feb 2026!$A:$AP""),42,0)+vlookup(A24,importrange(""https://doc"&amp;"s.google.com/spreadsheets/d/1arpJoJSlKHkJ-Zn4sJxqp3okt8tUTIYCnkob2xnYiCU/edit?usp=sharing"",""Mar 2026!$A:$AP""),42,0)+vlookup(A24,importrange(""https://docs.google.com/spreadsheets/d/1arpJoJSlKHkJ-Zn4sJxqp3okt8tUTIYCnkob2xnYiCU/edit?usp=sharing"",""Apr 2"&amp;"026!$A:$AP""),42,0)"),5)</f>
        <v>5</v>
      </c>
    </row>
    <row r="22" spans="1:12" ht="15.75" customHeight="1" x14ac:dyDescent="0.35">
      <c r="A22" s="10" t="s">
        <v>31</v>
      </c>
      <c r="B22" s="7">
        <f ca="1">IFERROR(__xludf.DUMMYFUNCTION("vlookup(A25,importrange(""https://docs.google.com/spreadsheets/d/1arpJoJSlKHkJ-Zn4sJxqp3okt8tUTIYCnkob2xnYiCU/edit?usp=sharing"",""Jan 2026!$A:$AH""),34,0)+vlookup(A25,importrange(""https://docs.google.com/spreadsheets/d/1arpJoJSlKHkJ-Zn4sJxqp3okt8tUTIYCn"&amp;"kob2xnYiCU/edit?usp=sharing"",""Feb 2026!$A:$AH""),34,0)+vlookup(A25,importrange(""https://docs.google.com/spreadsheets/d/1arpJoJSlKHkJ-Zn4sJxqp3okt8tUTIYCnkob2xnYiCU/edit?usp=sharing"",""Mar 2026!$A:$AH""),34,0)+vlookup(A25,importrange(""https://docs.goo"&amp;"gle.com/spreadsheets/d/1arpJoJSlKHkJ-Zn4sJxqp3okt8tUTIYCnkob2xnYiCU/edit?usp=sharing"",""Apr 2026!$A:$AH""),34,0)+vlookup(A25,importrange(""https://docs.google.com/spreadsheets/d/1arpJoJSlKHkJ-Zn4sJxqp3okt8tUTIYCnkob2xnYiCU/edit?usp=sharing"",""May 2026!$"&amp;"A:$AH""),34,0)+vlookup(A25,importrange(""https://docs.google.com/spreadsheets/d/1arpJoJSlKHkJ-Zn4sJxqp3okt8tUTIYCnkob2xnYiCU/edit?usp=sharing"",""June 2026!$A:$AH""),34,0)+vlookup(A25,importrange(""https://docs.google.com/spreadsheets/d/1arpJoJSlKHkJ-Zn4s"&amp;"Jxqp3okt8tUTIYCnkob2xnYiCU/edit?usp=sharing"",""Current Month!$A:$AH""),34,0)"),9)</f>
        <v>9</v>
      </c>
      <c r="C22" s="7">
        <f ca="1">IFERROR(__xludf.DUMMYFUNCTION("vlookup(A25,importrange(""https://docs.google.com/spreadsheets/d/1arpJoJSlKHkJ-Zn4sJxqp3okt8tUTIYCnkob2xnYiCU/edit?usp=sharing"",""Jan 2026!$A:$AI""),35,0)+vlookup(A25,importrange(""https://docs.google.com/spreadsheets/d/1arpJoJSlKHkJ-Zn4sJxqp3okt8tUTIYCn"&amp;"kob2xnYiCU/edit?usp=sharing"",""Feb 2026!$A:$AI""),35,0)+vlookup(A25,importrange(""https://docs.google.com/spreadsheets/d/1arpJoJSlKHkJ-Zn4sJxqp3okt8tUTIYCnkob2xnYiCU/edit?usp=sharing"",""Mar 2026!$A:$AI""),35,0)+vlookup(A25,importrange(""https://docs.goo"&amp;"gle.com/spreadsheets/d/1arpJoJSlKHkJ-Zn4sJxqp3okt8tUTIYCnkob2xnYiCU/edit?usp=sharing"",""Apr 2026!$A:$AI""),35,0)+vlookup(A25,importrange(""https://docs.google.com/spreadsheets/d/1arpJoJSlKHkJ-Zn4sJxqp3okt8tUTIYCnkob2xnYiCU/edit?usp=sharing"",""May 2026!$"&amp;"A:$AI""),35,0)+vlookup(A25,importrange(""https://docs.google.com/spreadsheets/d/1arpJoJSlKHkJ-Zn4sJxqp3okt8tUTIYCnkob2xnYiCU/edit?usp=sharing"",""June 2026!$A:$AI""),35,0)+vlookup(A25,importrange(""https://docs.google.com/spreadsheets/d/1arpJoJSlKHkJ-Zn4s"&amp;"Jxqp3okt8tUTIYCnkob2xnYiCU/edit?usp=sharing"",""Current Month!$A:$AI""),35,0)"),10)</f>
        <v>10</v>
      </c>
      <c r="D22" s="7">
        <f ca="1">IFERROR(__xludf.DUMMYFUNCTION("vlookup(A25,importrange(""https://docs.google.com/spreadsheets/d/1arpJoJSlKHkJ-Zn4sJxqp3okt8tUTIYCnkob2xnYiCU/edit?usp=sharing"",""Jan 2026!$A:$AJ""),36,0)+vlookup(A25,importrange(""https://docs.google.com/spreadsheets/d/1arpJoJSlKHkJ-Zn4sJxqp3okt8tUTIYCn"&amp;"kob2xnYiCU/edit?usp=sharing"",""Feb 2026!$A:$AJ""),36,0)+vlookup(A25,importrange(""https://docs.google.com/spreadsheets/d/1arpJoJSlKHkJ-Zn4sJxqp3okt8tUTIYCnkob2xnYiCU/edit?usp=sharing"",""Mar 2026!$A:$AJ""),36,0)+vlookup(A25,importrange(""https://docs.goo"&amp;"gle.com/spreadsheets/d/1arpJoJSlKHkJ-Zn4sJxqp3okt8tUTIYCnkob2xnYiCU/edit?usp=sharing"",""Apr 2026!$A:$AJ""),36,0)+vlookup(A25,importrange(""https://docs.google.com/spreadsheets/d/1arpJoJSlKHkJ-Zn4sJxqp3okt8tUTIYCnkob2xnYiCU/edit?usp=sharing"",""May 2026!$"&amp;"A:$AJ""),36,0)+vlookup(A25,importrange(""https://docs.google.com/spreadsheets/d/1arpJoJSlKHkJ-Zn4sJxqp3okt8tUTIYCnkob2xnYiCU/edit?usp=sharing"",""June 2026!$A:$AJ""),36,0)+vlookup(A25,importrange(""https://docs.google.com/spreadsheets/d/1arpJoJSlKHkJ-Zn4s"&amp;"Jxqp3okt8tUTIYCnkob2xnYiCU/edit?usp=sharing"",""Current Month!$A:$AJ""),36,0)"),0)</f>
        <v>0</v>
      </c>
      <c r="E22" s="7">
        <f ca="1">IFERROR(__xludf.DUMMYFUNCTION("vlookup(A25,importrange(""https://docs.google.com/spreadsheets/d/1arpJoJSlKHkJ-Zn4sJxqp3okt8tUTIYCnkob2xnYiCU/edit?usp=sharing"",""Jan 2026!$A:$AK""),37,0)+vlookup(A25,importrange(""https://docs.google.com/spreadsheets/d/1arpJoJSlKHkJ-Zn4sJxqp3okt8tUTIYCn"&amp;"kob2xnYiCU/edit?usp=sharing"",""Feb 2026!$A:$AK""),37,0)+vlookup(A25,importrange(""https://docs.google.com/spreadsheets/d/1arpJoJSlKHkJ-Zn4sJxqp3okt8tUTIYCnkob2xnYiCU/edit?usp=sharing"",""Mar 2026!$A:$AK""),37,0)+vlookup(A25,importrange(""https://docs.goo"&amp;"gle.com/spreadsheets/d/1arpJoJSlKHkJ-Zn4sJxqp3okt8tUTIYCnkob2xnYiCU/edit?usp=sharing"",""Apr 2026!$A:$AK""),37,0)+vlookup(A25,importrange(""https://docs.google.com/spreadsheets/d/1arpJoJSlKHkJ-Zn4sJxqp3okt8tUTIYCnkob2xnYiCU/edit?usp=sharing"",""May 2026!$"&amp;"A:$AK""),37,0)+vlookup(A25,importrange(""https://docs.google.com/spreadsheets/d/1arpJoJSlKHkJ-Zn4sJxqp3okt8tUTIYCnkob2xnYiCU/edit?usp=sharing"",""June 2026!$A:$AK""),37,0)+vlookup(A25,importrange(""https://docs.google.com/spreadsheets/d/1arpJoJSlKHkJ-Zn4s"&amp;"Jxqp3okt8tUTIYCnkob2xnYiCU/edit?usp=sharing"",""Current Month!$A:$AK""),37,0)"),0)</f>
        <v>0</v>
      </c>
      <c r="F22" s="7">
        <f t="shared" ca="1" si="0"/>
        <v>1</v>
      </c>
      <c r="G22" s="7">
        <f ca="1">IFERROR(__xludf.DUMMYFUNCTION("vlookup(A25,importrange(""https://docs.google.com/spreadsheets/d/1arpJoJSlKHkJ-Zn4sJxqp3okt8tUTIYCnkob2xnYiCU/edit?usp=sharing"",""Jan 2026!$A:$AN""),40,0)+vlookup(A25,importrange(""https://docs.google.com/spreadsheets/d/1arpJoJSlKHkJ-Zn4sJxqp3okt8tUTIYCn"&amp;"kob2xnYiCU/edit?usp=sharing"",""Feb 2026!$A:$AN""),40,0)+vlookup(A25,importrange(""https://docs.google.com/spreadsheets/d/1arpJoJSlKHkJ-Zn4sJxqp3okt8tUTIYCnkob2xnYiCU/edit?usp=sharing"",""Mar 2026!$A:$AN""),40,0)+vlookup(A25,importrange(""https://docs.goo"&amp;"gle.com/spreadsheets/d/1arpJoJSlKHkJ-Zn4sJxqp3okt8tUTIYCnkob2xnYiCU/edit?usp=sharing"",""Apr 2026!$A:$AN""),40,0)+vlookup(A25,importrange(""https://docs.google.com/spreadsheets/d/1arpJoJSlKHkJ-Zn4sJxqp3okt8tUTIYCnkob2xnYiCU/edit?usp=sharing"",""May 2026!$"&amp;"A:$AN""),40,0)+vlookup(A25,importrange(""https://docs.google.com/spreadsheets/d/1arpJoJSlKHkJ-Zn4sJxqp3okt8tUTIYCnkob2xnYiCU/edit?usp=sharing"",""June 2026!$A:$AN""),40,0)+vlookup(A25,importrange(""https://docs.google.com/spreadsheets/d/1arpJoJSlKHkJ-Zn4s"&amp;"Jxqp3okt8tUTIYCnkob2xnYiCU/edit?usp=sharing"",""Current Month!$A:$AN""),40,0)"),3)</f>
        <v>3</v>
      </c>
      <c r="H22" s="7">
        <v>12</v>
      </c>
      <c r="I22" s="8">
        <f t="shared" ca="1" si="1"/>
        <v>2</v>
      </c>
      <c r="J22" s="7">
        <f ca="1">IFERROR(__xludf.DUMMYFUNCTION("vlookup(A25,importrange(""https://docs.google.com/spreadsheets/d/1arpJoJSlKHkJ-Zn4sJxqp3okt8tUTIYCnkob2xnYiCU/edit?usp=sharing"",""Jan 2026!$A:$AP""),41,0)+vlookup(A25,importrange(""https://docs.google.com/spreadsheets/d/1arpJoJSlKHkJ-Zn4sJxqp3okt8tUTIYCn"&amp;"kob2xnYiCU/edit?usp=sharing"",""Feb 2026!$A:$AP""),41,0)+vlookup(A25,importrange(""https://docs.google.com/spreadsheets/d/1arpJoJSlKHkJ-Zn4sJxqp3okt8tUTIYCnkob2xnYiCU/edit?usp=sharing"",""Mar 2026!$A:$AP""),41,0)+vlookup(A25,importrange(""https://docs.goo"&amp;"gle.com/spreadsheets/d/1arpJoJSlKHkJ-Zn4sJxqp3okt8tUTIYCnkob2xnYiCU/edit?usp=sharing"",""Current Month!$A:$AP""),41,0)"),17)</f>
        <v>17</v>
      </c>
      <c r="K22" s="9">
        <f ca="1">IFERROR(__xludf.DUMMYFUNCTION("J25/((vlookup(A25,importrange(""https://docs.google.com/spreadsheets/d/1arpJoJSlKHkJ-Zn4sJxqp3okt8tUTIYCnkob2xnYiCU/edit?usp=sharing"",""Jan 2026!$A:$AG""),33,0))+(vlookup(A25,importrange(""https://docs.google.com/spreadsheets/d/1arpJoJSlKHkJ-Zn4sJxqp3okt"&amp;"8tUTIYCnkob2xnYiCU/edit?usp=sharing"",""Feb 2026!$A:$AG""),33,0))+(vlookup(A25,importrange(""https://docs.google.com/spreadsheets/d/1arpJoJSlKHkJ-Zn4sJxqp3okt8tUTIYCnkob2xnYiCU/edit?usp=sharing"",""Mar 2026!$A:$AG""),33,0))+(vlookup(A25,importrange(""http"&amp;"s://docs.google.com/spreadsheets/d/1arpJoJSlKHkJ-Zn4sJxqp3okt8tUTIYCnkob2xnYiCU/edit?usp=sharing"",""Apr 2026!$A:$AG""),33,0))+(vlookup(A25,importrange(""https://docs.google.com/spreadsheets/d/1arpJoJSlKHkJ-Zn4sJxqp3okt8tUTIYCnkob2xnYiCU/edit?usp=sharing"&amp;""",""Current Month!$A:$AG""),33,0)))"),0.195402298850574)</f>
        <v>0.195402298850574</v>
      </c>
      <c r="L22" s="7">
        <f ca="1">IFERROR(__xludf.DUMMYFUNCTION("vlookup(A25,importrange(""https://docs.google.com/spreadsheets/d/1arpJoJSlKHkJ-Zn4sJxqp3okt8tUTIYCnkob2xnYiCU/edit?usp=sharing"",""Current Month!$A:$AP""),42,0)+vlookup(A25,importrange(""https://docs.google.com/spreadsheets/d/1arpJoJSlKHkJ-Zn4sJxqp3okt8tU"&amp;"TIYCnkob2xnYiCU/edit?usp=sharing"",""Jan 2026!$A:$AP""),42,0)+vlookup(A25,importrange(""https://docs.google.com/spreadsheets/d/1arpJoJSlKHkJ-Zn4sJxqp3okt8tUTIYCnkob2xnYiCU/edit?usp=sharing"",""Feb 2026!$A:$AP""),42,0)+vlookup(A25,importrange(""https://doc"&amp;"s.google.com/spreadsheets/d/1arpJoJSlKHkJ-Zn4sJxqp3okt8tUTIYCnkob2xnYiCU/edit?usp=sharing"",""Mar 2026!$A:$AP""),42,0)+vlookup(A25,importrange(""https://docs.google.com/spreadsheets/d/1arpJoJSlKHkJ-Zn4sJxqp3okt8tUTIYCnkob2xnYiCU/edit?usp=sharing"",""Apr 2"&amp;"026!$A:$AP""),42,0)"),3)</f>
        <v>3</v>
      </c>
    </row>
    <row r="23" spans="1:12" ht="15.75" customHeight="1" x14ac:dyDescent="0.35">
      <c r="A23" s="10" t="s">
        <v>32</v>
      </c>
      <c r="B23" s="7">
        <f ca="1">IFERROR(__xludf.DUMMYFUNCTION("vlookup(A27,importrange(""https://docs.google.com/spreadsheets/d/1arpJoJSlKHkJ-Zn4sJxqp3okt8tUTIYCnkob2xnYiCU/edit?usp=sharing"",""Jan 2026!$A:$AH""),34,0)+vlookup(A27,importrange(""https://docs.google.com/spreadsheets/d/1arpJoJSlKHkJ-Zn4sJxqp3okt8tUTIYCn"&amp;"kob2xnYiCU/edit?usp=sharing"",""Feb 2026!$A:$AH""),34,0)+vlookup(A27,importrange(""https://docs.google.com/spreadsheets/d/1arpJoJSlKHkJ-Zn4sJxqp3okt8tUTIYCnkob2xnYiCU/edit?usp=sharing"",""Mar 2026!$A:$AH""),34,0)+vlookup(A27,importrange(""https://docs.goo"&amp;"gle.com/spreadsheets/d/1arpJoJSlKHkJ-Zn4sJxqp3okt8tUTIYCnkob2xnYiCU/edit?usp=sharing"",""Apr 2026!$A:$AH""),34,0)+vlookup(A27,importrange(""https://docs.google.com/spreadsheets/d/1arpJoJSlKHkJ-Zn4sJxqp3okt8tUTIYCnkob2xnYiCU/edit?usp=sharing"",""May 2026!$"&amp;"A:$AH""),34,0)+vlookup(A27,importrange(""https://docs.google.com/spreadsheets/d/1arpJoJSlKHkJ-Zn4sJxqp3okt8tUTIYCnkob2xnYiCU/edit?usp=sharing"",""June 2026!$A:$AH""),34,0)+vlookup(A27,importrange(""https://docs.google.com/spreadsheets/d/1arpJoJSlKHkJ-Zn4s"&amp;"Jxqp3okt8tUTIYCnkob2xnYiCU/edit?usp=sharing"",""Current Month!$A:$AH""),34,0)"),11)</f>
        <v>11</v>
      </c>
      <c r="C23" s="7">
        <f ca="1">IFERROR(__xludf.DUMMYFUNCTION("vlookup(A27,importrange(""https://docs.google.com/spreadsheets/d/1arpJoJSlKHkJ-Zn4sJxqp3okt8tUTIYCnkob2xnYiCU/edit?usp=sharing"",""Jan 2026!$A:$AI""),35,0)+vlookup(A27,importrange(""https://docs.google.com/spreadsheets/d/1arpJoJSlKHkJ-Zn4sJxqp3okt8tUTIYCn"&amp;"kob2xnYiCU/edit?usp=sharing"",""Feb 2026!$A:$AI""),35,0)+vlookup(A27,importrange(""https://docs.google.com/spreadsheets/d/1arpJoJSlKHkJ-Zn4sJxqp3okt8tUTIYCnkob2xnYiCU/edit?usp=sharing"",""Mar 2026!$A:$AI""),35,0)+vlookup(A27,importrange(""https://docs.goo"&amp;"gle.com/spreadsheets/d/1arpJoJSlKHkJ-Zn4sJxqp3okt8tUTIYCnkob2xnYiCU/edit?usp=sharing"",""Apr 2026!$A:$AI""),35,0)+vlookup(A27,importrange(""https://docs.google.com/spreadsheets/d/1arpJoJSlKHkJ-Zn4sJxqp3okt8tUTIYCnkob2xnYiCU/edit?usp=sharing"",""May 2026!$"&amp;"A:$AI""),35,0)+vlookup(A27,importrange(""https://docs.google.com/spreadsheets/d/1arpJoJSlKHkJ-Zn4sJxqp3okt8tUTIYCnkob2xnYiCU/edit?usp=sharing"",""June 2026!$A:$AI""),35,0)+vlookup(A27,importrange(""https://docs.google.com/spreadsheets/d/1arpJoJSlKHkJ-Zn4s"&amp;"Jxqp3okt8tUTIYCnkob2xnYiCU/edit?usp=sharing"",""Current Month!$A:$AI""),35,0)"),10)</f>
        <v>10</v>
      </c>
      <c r="D23" s="7">
        <f ca="1">IFERROR(__xludf.DUMMYFUNCTION("vlookup(A27,importrange(""https://docs.google.com/spreadsheets/d/1arpJoJSlKHkJ-Zn4sJxqp3okt8tUTIYCnkob2xnYiCU/edit?usp=sharing"",""Jan 2026!$A:$AJ""),36,0)+vlookup(A27,importrange(""https://docs.google.com/spreadsheets/d/1arpJoJSlKHkJ-Zn4sJxqp3okt8tUTIYCn"&amp;"kob2xnYiCU/edit?usp=sharing"",""Feb 2026!$A:$AJ""),36,0)+vlookup(A27,importrange(""https://docs.google.com/spreadsheets/d/1arpJoJSlKHkJ-Zn4sJxqp3okt8tUTIYCnkob2xnYiCU/edit?usp=sharing"",""Mar 2026!$A:$AJ""),36,0)+vlookup(A27,importrange(""https://docs.goo"&amp;"gle.com/spreadsheets/d/1arpJoJSlKHkJ-Zn4sJxqp3okt8tUTIYCnkob2xnYiCU/edit?usp=sharing"",""Apr 2026!$A:$AJ""),36,0)+vlookup(A27,importrange(""https://docs.google.com/spreadsheets/d/1arpJoJSlKHkJ-Zn4sJxqp3okt8tUTIYCnkob2xnYiCU/edit?usp=sharing"",""May 2026!$"&amp;"A:$AJ""),36,0)+vlookup(A27,importrange(""https://docs.google.com/spreadsheets/d/1arpJoJSlKHkJ-Zn4sJxqp3okt8tUTIYCnkob2xnYiCU/edit?usp=sharing"",""June 2026!$A:$AJ""),36,0)+vlookup(A27,importrange(""https://docs.google.com/spreadsheets/d/1arpJoJSlKHkJ-Zn4s"&amp;"Jxqp3okt8tUTIYCnkob2xnYiCU/edit?usp=sharing"",""Current Month!$A:$AJ""),36,0)"),0)</f>
        <v>0</v>
      </c>
      <c r="E23" s="7">
        <f ca="1">IFERROR(__xludf.DUMMYFUNCTION("vlookup(A27,importrange(""https://docs.google.com/spreadsheets/d/1arpJoJSlKHkJ-Zn4sJxqp3okt8tUTIYCnkob2xnYiCU/edit?usp=sharing"",""Jan 2026!$A:$AK""),37,0)+vlookup(A27,importrange(""https://docs.google.com/spreadsheets/d/1arpJoJSlKHkJ-Zn4sJxqp3okt8tUTIYCn"&amp;"kob2xnYiCU/edit?usp=sharing"",""Feb 2026!$A:$AK""),37,0)+vlookup(A27,importrange(""https://docs.google.com/spreadsheets/d/1arpJoJSlKHkJ-Zn4sJxqp3okt8tUTIYCnkob2xnYiCU/edit?usp=sharing"",""Mar 2026!$A:$AK""),37,0)+vlookup(A27,importrange(""https://docs.goo"&amp;"gle.com/spreadsheets/d/1arpJoJSlKHkJ-Zn4sJxqp3okt8tUTIYCnkob2xnYiCU/edit?usp=sharing"",""Apr 2026!$A:$AK""),37,0)+vlookup(A27,importrange(""https://docs.google.com/spreadsheets/d/1arpJoJSlKHkJ-Zn4sJxqp3okt8tUTIYCnkob2xnYiCU/edit?usp=sharing"",""May 2026!$"&amp;"A:$AK""),37,0)+vlookup(A27,importrange(""https://docs.google.com/spreadsheets/d/1arpJoJSlKHkJ-Zn4sJxqp3okt8tUTIYCnkob2xnYiCU/edit?usp=sharing"",""June 2026!$A:$AK""),37,0)+vlookup(A27,importrange(""https://docs.google.com/spreadsheets/d/1arpJoJSlKHkJ-Zn4s"&amp;"Jxqp3okt8tUTIYCnkob2xnYiCU/edit?usp=sharing"",""Current Month!$A:$AK""),37,0)"),0)</f>
        <v>0</v>
      </c>
      <c r="F23" s="7">
        <f t="shared" ca="1" si="0"/>
        <v>2</v>
      </c>
      <c r="G23" s="7">
        <f ca="1">IFERROR(__xludf.DUMMYFUNCTION("vlookup(A27,importrange(""https://docs.google.com/spreadsheets/d/1arpJoJSlKHkJ-Zn4sJxqp3okt8tUTIYCnkob2xnYiCU/edit?usp=sharing"",""Jan 2026!$A:$AN""),40,0)+vlookup(A27,importrange(""https://docs.google.com/spreadsheets/d/1arpJoJSlKHkJ-Zn4sJxqp3okt8tUTIYCn"&amp;"kob2xnYiCU/edit?usp=sharing"",""Feb 2026!$A:$AN""),40,0)+vlookup(A27,importrange(""https://docs.google.com/spreadsheets/d/1arpJoJSlKHkJ-Zn4sJxqp3okt8tUTIYCnkob2xnYiCU/edit?usp=sharing"",""Mar 2026!$A:$AN""),40,0)+vlookup(A27,importrange(""https://docs.goo"&amp;"gle.com/spreadsheets/d/1arpJoJSlKHkJ-Zn4sJxqp3okt8tUTIYCnkob2xnYiCU/edit?usp=sharing"",""Apr 2026!$A:$AN""),40,0)+vlookup(A27,importrange(""https://docs.google.com/spreadsheets/d/1arpJoJSlKHkJ-Zn4sJxqp3okt8tUTIYCnkob2xnYiCU/edit?usp=sharing"",""May 2026!$"&amp;"A:$AN""),40,0)+vlookup(A27,importrange(""https://docs.google.com/spreadsheets/d/1arpJoJSlKHkJ-Zn4sJxqp3okt8tUTIYCnkob2xnYiCU/edit?usp=sharing"",""June 2026!$A:$AN""),40,0)+vlookup(A27,importrange(""https://docs.google.com/spreadsheets/d/1arpJoJSlKHkJ-Zn4s"&amp;"Jxqp3okt8tUTIYCnkob2xnYiCU/edit?usp=sharing"",""Current Month!$A:$AN""),40,0)"),2)</f>
        <v>2</v>
      </c>
      <c r="H23" s="7">
        <v>12</v>
      </c>
      <c r="I23" s="8">
        <f t="shared" ca="1" si="1"/>
        <v>0</v>
      </c>
      <c r="J23" s="7">
        <f ca="1">IFERROR(__xludf.DUMMYFUNCTION("vlookup(A27,importrange(""https://docs.google.com/spreadsheets/d/1arpJoJSlKHkJ-Zn4sJxqp3okt8tUTIYCnkob2xnYiCU/edit?usp=sharing"",""Jan 2026!$A:$AP""),41,0)+vlookup(A27,importrange(""https://docs.google.com/spreadsheets/d/1arpJoJSlKHkJ-Zn4sJxqp3okt8tUTIYCn"&amp;"kob2xnYiCU/edit?usp=sharing"",""Feb 2026!$A:$AP""),41,0)+vlookup(A27,importrange(""https://docs.google.com/spreadsheets/d/1arpJoJSlKHkJ-Zn4sJxqp3okt8tUTIYCnkob2xnYiCU/edit?usp=sharing"",""Mar 2026!$A:$AP""),41,0)+vlookup(A27,importrange(""https://docs.goo"&amp;"gle.com/spreadsheets/d/1arpJoJSlKHkJ-Zn4sJxqp3okt8tUTIYCnkob2xnYiCU/edit?usp=sharing"",""Current Month!$A:$AP""),41,0)"),19)</f>
        <v>19</v>
      </c>
      <c r="K23" s="9">
        <f ca="1">IFERROR(__xludf.DUMMYFUNCTION("J27/((vlookup(A27,importrange(""https://docs.google.com/spreadsheets/d/1arpJoJSlKHkJ-Zn4sJxqp3okt8tUTIYCnkob2xnYiCU/edit?usp=sharing"",""Jan 2026!$A:$AG""),33,0))+(vlookup(A27,importrange(""https://docs.google.com/spreadsheets/d/1arpJoJSlKHkJ-Zn4sJxqp3okt"&amp;"8tUTIYCnkob2xnYiCU/edit?usp=sharing"",""Feb 2026!$A:$AG""),33,0))+(vlookup(A27,importrange(""https://docs.google.com/spreadsheets/d/1arpJoJSlKHkJ-Zn4sJxqp3okt8tUTIYCnkob2xnYiCU/edit?usp=sharing"",""Mar 2026!$A:$AG""),33,0))+(vlookup(A27,importrange(""http"&amp;"s://docs.google.com/spreadsheets/d/1arpJoJSlKHkJ-Zn4sJxqp3okt8tUTIYCnkob2xnYiCU/edit?usp=sharing"",""Apr 2026!$A:$AG""),33,0))+(vlookup(A27,importrange(""https://docs.google.com/spreadsheets/d/1arpJoJSlKHkJ-Zn4sJxqp3okt8tUTIYCnkob2xnYiCU/edit?usp=sharing"&amp;""",""Current Month!$A:$AG""),33,0)))"),0.220930232558139)</f>
        <v>0.22093023255813901</v>
      </c>
      <c r="L23" s="7">
        <f ca="1">IFERROR(__xludf.DUMMYFUNCTION("vlookup(A27,importrange(""https://docs.google.com/spreadsheets/d/1arpJoJSlKHkJ-Zn4sJxqp3okt8tUTIYCnkob2xnYiCU/edit?usp=sharing"",""Current Month!$A:$AP""),42,0)+vlookup(A27,importrange(""https://docs.google.com/spreadsheets/d/1arpJoJSlKHkJ-Zn4sJxqp3okt8tU"&amp;"TIYCnkob2xnYiCU/edit?usp=sharing"",""Jan 2026!$A:$AP""),42,0)+vlookup(A27,importrange(""https://docs.google.com/spreadsheets/d/1arpJoJSlKHkJ-Zn4sJxqp3okt8tUTIYCnkob2xnYiCU/edit?usp=sharing"",""Feb 2026!$A:$AP""),42,0)+vlookup(A27,importrange(""https://doc"&amp;"s.google.com/spreadsheets/d/1arpJoJSlKHkJ-Zn4sJxqp3okt8tUTIYCnkob2xnYiCU/edit?usp=sharing"",""Mar 2026!$A:$AP""),42,0)+vlookup(A27,importrange(""https://docs.google.com/spreadsheets/d/1arpJoJSlKHkJ-Zn4sJxqp3okt8tUTIYCnkob2xnYiCU/edit?usp=sharing"",""Apr 2"&amp;"026!$A:$AP""),42,0)"),7)</f>
        <v>7</v>
      </c>
    </row>
    <row r="24" spans="1:12" ht="15.75" hidden="1" customHeight="1" x14ac:dyDescent="0.35">
      <c r="A24" s="6" t="s">
        <v>33</v>
      </c>
      <c r="B24" s="7" t="str">
        <f ca="1">IFERROR(__xludf.DUMMYFUNCTION("vlookup(A28,importrange(""https://docs.google.com/spreadsheets/d/1arpJoJSlKHkJ-Zn4sJxqp3okt8tUTIYCnkob2xnYiCU/edit?usp=sharing"",""Jan 2026!$A:$AH""),34,0)+vlookup(A28,importrange(""https://docs.google.com/spreadsheets/d/1arpJoJSlKHkJ-Zn4sJxqp3okt8tUTIYCn"&amp;"kob2xnYiCU/edit?usp=sharing"",""Feb 2026!$A:$AH""),34,0)+vlookup(A28,importrange(""https://docs.google.com/spreadsheets/d/1arpJoJSlKHkJ-Zn4sJxqp3okt8tUTIYCnkob2xnYiCU/edit?usp=sharing"",""Mar 2026!$A:$AH""),34,0)+vlookup(A28,importrange(""https://docs.goo"&amp;"gle.com/spreadsheets/d/1arpJoJSlKHkJ-Zn4sJxqp3okt8tUTIYCnkob2xnYiCU/edit?usp=sharing"",""Apr 2026!$A:$AH""),34,0)+vlookup(A28,importrange(""https://docs.google.com/spreadsheets/d/1arpJoJSlKHkJ-Zn4sJxqp3okt8tUTIYCnkob2xnYiCU/edit?usp=sharing"",""May 2026!$"&amp;"A:$AH""),34,0)+vlookup(A28,importrange(""https://docs.google.com/spreadsheets/d/1arpJoJSlKHkJ-Zn4sJxqp3okt8tUTIYCnkob2xnYiCU/edit?usp=sharing"",""June 2026!$A:$AH""),34,0)+vlookup(A28,importrange(""https://docs.google.com/spreadsheets/d/1arpJoJSlKHkJ-Zn4s"&amp;"Jxqp3okt8tUTIYCnkob2xnYiCU/edit?usp=sharing"",""Current Month!$A:$AH""),34,0)"),"#N/A")</f>
        <v>#N/A</v>
      </c>
      <c r="C24" s="7" t="str">
        <f ca="1">IFERROR(__xludf.DUMMYFUNCTION("vlookup(A28,importrange(""https://docs.google.com/spreadsheets/d/1arpJoJSlKHkJ-Zn4sJxqp3okt8tUTIYCnkob2xnYiCU/edit?usp=sharing"",""Jan 2026!$A:$AI""),35,0)+vlookup(A28,importrange(""https://docs.google.com/spreadsheets/d/1arpJoJSlKHkJ-Zn4sJxqp3okt8tUTIYCn"&amp;"kob2xnYiCU/edit?usp=sharing"",""Feb 2026!$A:$AI""),35,0)+vlookup(A28,importrange(""https://docs.google.com/spreadsheets/d/1arpJoJSlKHkJ-Zn4sJxqp3okt8tUTIYCnkob2xnYiCU/edit?usp=sharing"",""Mar 2026!$A:$AI""),35,0)+vlookup(A28,importrange(""https://docs.goo"&amp;"gle.com/spreadsheets/d/1arpJoJSlKHkJ-Zn4sJxqp3okt8tUTIYCnkob2xnYiCU/edit?usp=sharing"",""Apr 2026!$A:$AI""),35,0)+vlookup(A28,importrange(""https://docs.google.com/spreadsheets/d/1arpJoJSlKHkJ-Zn4sJxqp3okt8tUTIYCnkob2xnYiCU/edit?usp=sharing"",""May 2026!$"&amp;"A:$AI""),35,0)+vlookup(A28,importrange(""https://docs.google.com/spreadsheets/d/1arpJoJSlKHkJ-Zn4sJxqp3okt8tUTIYCnkob2xnYiCU/edit?usp=sharing"",""June 2026!$A:$AI""),35,0)+vlookup(A28,importrange(""https://docs.google.com/spreadsheets/d/1arpJoJSlKHkJ-Zn4s"&amp;"Jxqp3okt8tUTIYCnkob2xnYiCU/edit?usp=sharing"",""Current Month!$A:$AI""),35,0)"),"#N/A")</f>
        <v>#N/A</v>
      </c>
      <c r="D24" s="7" t="str">
        <f ca="1">IFERROR(__xludf.DUMMYFUNCTION("vlookup(A28,importrange(""https://docs.google.com/spreadsheets/d/1arpJoJSlKHkJ-Zn4sJxqp3okt8tUTIYCnkob2xnYiCU/edit?usp=sharing"",""Jan 2026!$A:$AJ""),36,0)+vlookup(A28,importrange(""https://docs.google.com/spreadsheets/d/1arpJoJSlKHkJ-Zn4sJxqp3okt8tUTIYCn"&amp;"kob2xnYiCU/edit?usp=sharing"",""Feb 2026!$A:$AJ""),36,0)+vlookup(A28,importrange(""https://docs.google.com/spreadsheets/d/1arpJoJSlKHkJ-Zn4sJxqp3okt8tUTIYCnkob2xnYiCU/edit?usp=sharing"",""Mar 2026!$A:$AJ""),36,0)+vlookup(A28,importrange(""https://docs.goo"&amp;"gle.com/spreadsheets/d/1arpJoJSlKHkJ-Zn4sJxqp3okt8tUTIYCnkob2xnYiCU/edit?usp=sharing"",""Apr 2026!$A:$AJ""),36,0)+vlookup(A28,importrange(""https://docs.google.com/spreadsheets/d/1arpJoJSlKHkJ-Zn4sJxqp3okt8tUTIYCnkob2xnYiCU/edit?usp=sharing"",""May 2026!$"&amp;"A:$AJ""),36,0)+vlookup(A28,importrange(""https://docs.google.com/spreadsheets/d/1arpJoJSlKHkJ-Zn4sJxqp3okt8tUTIYCnkob2xnYiCU/edit?usp=sharing"",""June 2026!$A:$AJ""),36,0)+vlookup(A28,importrange(""https://docs.google.com/spreadsheets/d/1arpJoJSlKHkJ-Zn4s"&amp;"Jxqp3okt8tUTIYCnkob2xnYiCU/edit?usp=sharing"",""Current Month!$A:$AJ""),36,0)"),"#N/A")</f>
        <v>#N/A</v>
      </c>
      <c r="E24" s="7" t="str">
        <f ca="1">IFERROR(__xludf.DUMMYFUNCTION("vlookup(A28,importrange(""https://docs.google.com/spreadsheets/d/1arpJoJSlKHkJ-Zn4sJxqp3okt8tUTIYCnkob2xnYiCU/edit?usp=sharing"",""Jan 2026!$A:$AK""),37,0)+vlookup(A28,importrange(""https://docs.google.com/spreadsheets/d/1arpJoJSlKHkJ-Zn4sJxqp3okt8tUTIYCn"&amp;"kob2xnYiCU/edit?usp=sharing"",""Feb 2026!$A:$AK""),37,0)+vlookup(A28,importrange(""https://docs.google.com/spreadsheets/d/1arpJoJSlKHkJ-Zn4sJxqp3okt8tUTIYCnkob2xnYiCU/edit?usp=sharing"",""Mar 2026!$A:$AK""),37,0)+vlookup(A28,importrange(""https://docs.goo"&amp;"gle.com/spreadsheets/d/1arpJoJSlKHkJ-Zn4sJxqp3okt8tUTIYCnkob2xnYiCU/edit?usp=sharing"",""Apr 2026!$A:$AK""),37,0)+vlookup(A28,importrange(""https://docs.google.com/spreadsheets/d/1arpJoJSlKHkJ-Zn4sJxqp3okt8tUTIYCnkob2xnYiCU/edit?usp=sharing"",""May 2026!$"&amp;"A:$AK""),37,0)+vlookup(A28,importrange(""https://docs.google.com/spreadsheets/d/1arpJoJSlKHkJ-Zn4sJxqp3okt8tUTIYCnkob2xnYiCU/edit?usp=sharing"",""June 2026!$A:$AK""),37,0)+vlookup(A28,importrange(""https://docs.google.com/spreadsheets/d/1arpJoJSlKHkJ-Zn4s"&amp;"Jxqp3okt8tUTIYCnkob2xnYiCU/edit?usp=sharing"",""Current Month!$A:$AK""),37,0)"),"#N/A")</f>
        <v>#N/A</v>
      </c>
      <c r="F24" s="7" t="e">
        <f t="shared" ca="1" si="0"/>
        <v>#VALUE!</v>
      </c>
      <c r="G24" s="7" t="str">
        <f ca="1">IFERROR(__xludf.DUMMYFUNCTION("vlookup(A28,importrange(""https://docs.google.com/spreadsheets/d/1arpJoJSlKHkJ-Zn4sJxqp3okt8tUTIYCnkob2xnYiCU/edit?usp=sharing"",""Jan 2026!$A:$AN""),40,0)+vlookup(A28,importrange(""https://docs.google.com/spreadsheets/d/1arpJoJSlKHkJ-Zn4sJxqp3okt8tUTIYCn"&amp;"kob2xnYiCU/edit?usp=sharing"",""Feb 2026!$A:$AN""),40,0)+vlookup(A28,importrange(""https://docs.google.com/spreadsheets/d/1arpJoJSlKHkJ-Zn4sJxqp3okt8tUTIYCnkob2xnYiCU/edit?usp=sharing"",""Mar 2026!$A:$AN""),40,0)+vlookup(A28,importrange(""https://docs.goo"&amp;"gle.com/spreadsheets/d/1arpJoJSlKHkJ-Zn4sJxqp3okt8tUTIYCnkob2xnYiCU/edit?usp=sharing"",""Apr 2026!$A:$AN""),40,0)+vlookup(A28,importrange(""https://docs.google.com/spreadsheets/d/1arpJoJSlKHkJ-Zn4sJxqp3okt8tUTIYCnkob2xnYiCU/edit?usp=sharing"",""May 2026!$"&amp;"A:$AN""),40,0)+vlookup(A28,importrange(""https://docs.google.com/spreadsheets/d/1arpJoJSlKHkJ-Zn4sJxqp3okt8tUTIYCnkob2xnYiCU/edit?usp=sharing"",""June 2026!$A:$AN""),40,0)+vlookup(A28,importrange(""https://docs.google.com/spreadsheets/d/1arpJoJSlKHkJ-Zn4s"&amp;"Jxqp3okt8tUTIYCnkob2xnYiCU/edit?usp=sharing"",""Current Month!$A:$AN""),40,0)"),"#N/A")</f>
        <v>#N/A</v>
      </c>
      <c r="H24" s="7">
        <v>12</v>
      </c>
      <c r="I24" s="8" t="e">
        <f t="shared" ca="1" si="1"/>
        <v>#VALUE!</v>
      </c>
      <c r="J24" s="7" t="str">
        <f ca="1">IFERROR(__xludf.DUMMYFUNCTION("vlookup(A28,importrange(""https://docs.google.com/spreadsheets/d/1arpJoJSlKHkJ-Zn4sJxqp3okt8tUTIYCnkob2xnYiCU/edit?usp=sharing"",""Jan 2026!$A:$AP""),41,0)+vlookup(A28,importrange(""https://docs.google.com/spreadsheets/d/1arpJoJSlKHkJ-Zn4sJxqp3okt8tUTIYCn"&amp;"kob2xnYiCU/edit?usp=sharing"",""Feb 2026!$A:$AP""),41,0)+vlookup(A28,importrange(""https://docs.google.com/spreadsheets/d/1arpJoJSlKHkJ-Zn4sJxqp3okt8tUTIYCnkob2xnYiCU/edit?usp=sharing"",""Mar 2026!$A:$AP""),41,0)+vlookup(A28,importrange(""https://docs.goo"&amp;"gle.com/spreadsheets/d/1arpJoJSlKHkJ-Zn4sJxqp3okt8tUTIYCnkob2xnYiCU/edit?usp=sharing"",""Current Month!$A:$AP""),41,0)"),"#N/A")</f>
        <v>#N/A</v>
      </c>
      <c r="K24" s="9" t="str">
        <f ca="1">IFERROR(__xludf.DUMMYFUNCTION("J28/((vlookup(A28,importrange(""https://docs.google.com/spreadsheets/d/1arpJoJSlKHkJ-Zn4sJxqp3okt8tUTIYCnkob2xnYiCU/edit?usp=sharing"",""Jan 2026!$A:$AG""),33,0))+(vlookup(A28,importrange(""https://docs.google.com/spreadsheets/d/1arpJoJSlKHkJ-Zn4sJxqp3okt"&amp;"8tUTIYCnkob2xnYiCU/edit?usp=sharing"",""Feb 2026!$A:$AG""),33,0))+(vlookup(A28,importrange(""https://docs.google.com/spreadsheets/d/1arpJoJSlKHkJ-Zn4sJxqp3okt8tUTIYCnkob2xnYiCU/edit?usp=sharing"",""Mar 2026!$A:$AG""),33,0))+(vlookup(A28,importrange(""http"&amp;"s://docs.google.com/spreadsheets/d/1arpJoJSlKHkJ-Zn4sJxqp3okt8tUTIYCnkob2xnYiCU/edit?usp=sharing"",""Apr 2026!$A:$AG""),33,0))+(vlookup(A28,importrange(""https://docs.google.com/spreadsheets/d/1arpJoJSlKHkJ-Zn4sJxqp3okt8tUTIYCnkob2xnYiCU/edit?usp=sharing"&amp;""",""Current Month!$A:$AG""),33,0)))"),"#N/A")</f>
        <v>#N/A</v>
      </c>
      <c r="L24" s="7" t="str">
        <f ca="1">IFERROR(__xludf.DUMMYFUNCTION("vlookup(A28,importrange(""https://docs.google.com/spreadsheets/d/1arpJoJSlKHkJ-Zn4sJxqp3okt8tUTIYCnkob2xnYiCU/edit?usp=sharing"",""Current Month!$A:$AP""),42,0)+vlookup(A28,importrange(""https://docs.google.com/spreadsheets/d/1arpJoJSlKHkJ-Zn4sJxqp3okt8tU"&amp;"TIYCnkob2xnYiCU/edit?usp=sharing"",""Jan 2026!$A:$AP""),42,0)+vlookup(A28,importrange(""https://docs.google.com/spreadsheets/d/1arpJoJSlKHkJ-Zn4sJxqp3okt8tUTIYCnkob2xnYiCU/edit?usp=sharing"",""Feb 2026!$A:$AP""),42,0)+vlookup(A28,importrange(""https://doc"&amp;"s.google.com/spreadsheets/d/1arpJoJSlKHkJ-Zn4sJxqp3okt8tUTIYCnkob2xnYiCU/edit?usp=sharing"",""Mar 2026!$A:$AP""),42,0)+vlookup(A28,importrange(""https://docs.google.com/spreadsheets/d/1arpJoJSlKHkJ-Zn4sJxqp3okt8tUTIYCnkob2xnYiCU/edit?usp=sharing"",""Apr 2"&amp;"026!$A:$AP""),42,0)"),"#N/A")</f>
        <v>#N/A</v>
      </c>
    </row>
    <row r="25" spans="1:12" ht="15.75" hidden="1" customHeight="1" x14ac:dyDescent="0.35">
      <c r="A25" s="6" t="s">
        <v>34</v>
      </c>
      <c r="B25" s="7">
        <f ca="1">IFERROR(__xludf.DUMMYFUNCTION("vlookup(A29,importrange(""https://docs.google.com/spreadsheets/d/1arpJoJSlKHkJ-Zn4sJxqp3okt8tUTIYCnkob2xnYiCU/edit?usp=sharing"",""Jan 2026!$A:$AH""),34,0)+vlookup(A29,importrange(""https://docs.google.com/spreadsheets/d/1arpJoJSlKHkJ-Zn4sJxqp3okt8tUTIYCn"&amp;"kob2xnYiCU/edit?usp=sharing"",""Feb 2026!$A:$AH""),34,0)+vlookup(A29,importrange(""https://docs.google.com/spreadsheets/d/1arpJoJSlKHkJ-Zn4sJxqp3okt8tUTIYCnkob2xnYiCU/edit?usp=sharing"",""Mar 2026!$A:$AH""),34,0)+vlookup(A29,importrange(""https://docs.goo"&amp;"gle.com/spreadsheets/d/1arpJoJSlKHkJ-Zn4sJxqp3okt8tUTIYCnkob2xnYiCU/edit?usp=sharing"",""Apr 2026!$A:$AH""),34,0)+vlookup(A29,importrange(""https://docs.google.com/spreadsheets/d/1arpJoJSlKHkJ-Zn4sJxqp3okt8tUTIYCnkob2xnYiCU/edit?usp=sharing"",""May 2026!$"&amp;"A:$AH""),34,0)+vlookup(A29,importrange(""https://docs.google.com/spreadsheets/d/1arpJoJSlKHkJ-Zn4sJxqp3okt8tUTIYCnkob2xnYiCU/edit?usp=sharing"",""June 2026!$A:$AH""),34,0)+vlookup(A29,importrange(""https://docs.google.com/spreadsheets/d/1arpJoJSlKHkJ-Zn4s"&amp;"Jxqp3okt8tUTIYCnkob2xnYiCU/edit?usp=sharing"",""Current Month!$A:$AH""),34,0)"),3)</f>
        <v>3</v>
      </c>
      <c r="C25" s="7">
        <f ca="1">IFERROR(__xludf.DUMMYFUNCTION("vlookup(A29,importrange(""https://docs.google.com/spreadsheets/d/1arpJoJSlKHkJ-Zn4sJxqp3okt8tUTIYCnkob2xnYiCU/edit?usp=sharing"",""Jan 2026!$A:$AI""),35,0)+vlookup(A29,importrange(""https://docs.google.com/spreadsheets/d/1arpJoJSlKHkJ-Zn4sJxqp3okt8tUTIYCn"&amp;"kob2xnYiCU/edit?usp=sharing"",""Feb 2026!$A:$AI""),35,0)+vlookup(A29,importrange(""https://docs.google.com/spreadsheets/d/1arpJoJSlKHkJ-Zn4sJxqp3okt8tUTIYCnkob2xnYiCU/edit?usp=sharing"",""Mar 2026!$A:$AI""),35,0)+vlookup(A29,importrange(""https://docs.goo"&amp;"gle.com/spreadsheets/d/1arpJoJSlKHkJ-Zn4sJxqp3okt8tUTIYCnkob2xnYiCU/edit?usp=sharing"",""Apr 2026!$A:$AI""),35,0)+vlookup(A29,importrange(""https://docs.google.com/spreadsheets/d/1arpJoJSlKHkJ-Zn4sJxqp3okt8tUTIYCnkob2xnYiCU/edit?usp=sharing"",""May 2026!$"&amp;"A:$AI""),35,0)+vlookup(A29,importrange(""https://docs.google.com/spreadsheets/d/1arpJoJSlKHkJ-Zn4sJxqp3okt8tUTIYCnkob2xnYiCU/edit?usp=sharing"",""June 2026!$A:$AI""),35,0)+vlookup(A29,importrange(""https://docs.google.com/spreadsheets/d/1arpJoJSlKHkJ-Zn4s"&amp;"Jxqp3okt8tUTIYCnkob2xnYiCU/edit?usp=sharing"",""Current Month!$A:$AI""),35,0)"),4)</f>
        <v>4</v>
      </c>
      <c r="D25" s="7">
        <f ca="1">IFERROR(__xludf.DUMMYFUNCTION("vlookup(A29,importrange(""https://docs.google.com/spreadsheets/d/1arpJoJSlKHkJ-Zn4sJxqp3okt8tUTIYCnkob2xnYiCU/edit?usp=sharing"",""Jan 2026!$A:$AJ""),36,0)+vlookup(A29,importrange(""https://docs.google.com/spreadsheets/d/1arpJoJSlKHkJ-Zn4sJxqp3okt8tUTIYCn"&amp;"kob2xnYiCU/edit?usp=sharing"",""Feb 2026!$A:$AJ""),36,0)+vlookup(A29,importrange(""https://docs.google.com/spreadsheets/d/1arpJoJSlKHkJ-Zn4sJxqp3okt8tUTIYCnkob2xnYiCU/edit?usp=sharing"",""Mar 2026!$A:$AJ""),36,0)+vlookup(A29,importrange(""https://docs.goo"&amp;"gle.com/spreadsheets/d/1arpJoJSlKHkJ-Zn4sJxqp3okt8tUTIYCnkob2xnYiCU/edit?usp=sharing"",""Apr 2026!$A:$AJ""),36,0)+vlookup(A29,importrange(""https://docs.google.com/spreadsheets/d/1arpJoJSlKHkJ-Zn4sJxqp3okt8tUTIYCnkob2xnYiCU/edit?usp=sharing"",""May 2026!$"&amp;"A:$AJ""),36,0)+vlookup(A29,importrange(""https://docs.google.com/spreadsheets/d/1arpJoJSlKHkJ-Zn4sJxqp3okt8tUTIYCnkob2xnYiCU/edit?usp=sharing"",""June 2026!$A:$AJ""),36,0)+vlookup(A29,importrange(""https://docs.google.com/spreadsheets/d/1arpJoJSlKHkJ-Zn4s"&amp;"Jxqp3okt8tUTIYCnkob2xnYiCU/edit?usp=sharing"",""Current Month!$A:$AJ""),36,0)"),1)</f>
        <v>1</v>
      </c>
      <c r="E25" s="7">
        <f ca="1">IFERROR(__xludf.DUMMYFUNCTION("vlookup(A29,importrange(""https://docs.google.com/spreadsheets/d/1arpJoJSlKHkJ-Zn4sJxqp3okt8tUTIYCnkob2xnYiCU/edit?usp=sharing"",""Jan 2026!$A:$AK""),37,0)+vlookup(A29,importrange(""https://docs.google.com/spreadsheets/d/1arpJoJSlKHkJ-Zn4sJxqp3okt8tUTIYCn"&amp;"kob2xnYiCU/edit?usp=sharing"",""Feb 2026!$A:$AK""),37,0)+vlookup(A29,importrange(""https://docs.google.com/spreadsheets/d/1arpJoJSlKHkJ-Zn4sJxqp3okt8tUTIYCnkob2xnYiCU/edit?usp=sharing"",""Mar 2026!$A:$AK""),37,0)+vlookup(A29,importrange(""https://docs.goo"&amp;"gle.com/spreadsheets/d/1arpJoJSlKHkJ-Zn4sJxqp3okt8tUTIYCnkob2xnYiCU/edit?usp=sharing"",""Apr 2026!$A:$AK""),37,0)+vlookup(A29,importrange(""https://docs.google.com/spreadsheets/d/1arpJoJSlKHkJ-Zn4sJxqp3okt8tUTIYCnkob2xnYiCU/edit?usp=sharing"",""May 2026!$"&amp;"A:$AK""),37,0)+vlookup(A29,importrange(""https://docs.google.com/spreadsheets/d/1arpJoJSlKHkJ-Zn4sJxqp3okt8tUTIYCnkob2xnYiCU/edit?usp=sharing"",""June 2026!$A:$AK""),37,0)+vlookup(A29,importrange(""https://docs.google.com/spreadsheets/d/1arpJoJSlKHkJ-Zn4s"&amp;"Jxqp3okt8tUTIYCnkob2xnYiCU/edit?usp=sharing"",""Current Month!$A:$AK""),37,0)"),0)</f>
        <v>0</v>
      </c>
      <c r="F25" s="7">
        <f t="shared" ca="1" si="0"/>
        <v>3</v>
      </c>
      <c r="G25" s="7">
        <f ca="1">IFERROR(__xludf.DUMMYFUNCTION("vlookup(A29,importrange(""https://docs.google.com/spreadsheets/d/1arpJoJSlKHkJ-Zn4sJxqp3okt8tUTIYCnkob2xnYiCU/edit?usp=sharing"",""Jan 2026!$A:$AN""),40,0)+vlookup(A29,importrange(""https://docs.google.com/spreadsheets/d/1arpJoJSlKHkJ-Zn4sJxqp3okt8tUTIYCn"&amp;"kob2xnYiCU/edit?usp=sharing"",""Feb 2026!$A:$AN""),40,0)+vlookup(A29,importrange(""https://docs.google.com/spreadsheets/d/1arpJoJSlKHkJ-Zn4sJxqp3okt8tUTIYCnkob2xnYiCU/edit?usp=sharing"",""Mar 2026!$A:$AN""),40,0)+vlookup(A29,importrange(""https://docs.goo"&amp;"gle.com/spreadsheets/d/1arpJoJSlKHkJ-Zn4sJxqp3okt8tUTIYCnkob2xnYiCU/edit?usp=sharing"",""Apr 2026!$A:$AN""),40,0)+vlookup(A29,importrange(""https://docs.google.com/spreadsheets/d/1arpJoJSlKHkJ-Zn4sJxqp3okt8tUTIYCnkob2xnYiCU/edit?usp=sharing"",""May 2026!$"&amp;"A:$AN""),40,0)+vlookup(A29,importrange(""https://docs.google.com/spreadsheets/d/1arpJoJSlKHkJ-Zn4sJxqp3okt8tUTIYCnkob2xnYiCU/edit?usp=sharing"",""June 2026!$A:$AN""),40,0)+vlookup(A29,importrange(""https://docs.google.com/spreadsheets/d/1arpJoJSlKHkJ-Zn4s"&amp;"Jxqp3okt8tUTIYCnkob2xnYiCU/edit?usp=sharing"",""Current Month!$A:$AN""),40,0)"),1)</f>
        <v>1</v>
      </c>
      <c r="H25" s="7">
        <v>12</v>
      </c>
      <c r="I25" s="8">
        <f t="shared" ca="1" si="1"/>
        <v>14</v>
      </c>
      <c r="J25" s="7">
        <f ca="1">IFERROR(__xludf.DUMMYFUNCTION("vlookup(A29,importrange(""https://docs.google.com/spreadsheets/d/1arpJoJSlKHkJ-Zn4sJxqp3okt8tUTIYCnkob2xnYiCU/edit?usp=sharing"",""Jan 2026!$A:$AP""),41,0)+vlookup(A29,importrange(""https://docs.google.com/spreadsheets/d/1arpJoJSlKHkJ-Zn4sJxqp3okt8tUTIYCn"&amp;"kob2xnYiCU/edit?usp=sharing"",""Feb 2026!$A:$AP""),41,0)+vlookup(A29,importrange(""https://docs.google.com/spreadsheets/d/1arpJoJSlKHkJ-Zn4sJxqp3okt8tUTIYCnkob2xnYiCU/edit?usp=sharing"",""Mar 2026!$A:$AP""),41,0)+vlookup(A29,importrange(""https://docs.goo"&amp;"gle.com/spreadsheets/d/1arpJoJSlKHkJ-Zn4sJxqp3okt8tUTIYCnkob2xnYiCU/edit?usp=sharing"",""Current Month!$A:$AP""),41,0)"),25)</f>
        <v>25</v>
      </c>
      <c r="K25" s="9">
        <f ca="1">IFERROR(__xludf.DUMMYFUNCTION("J29/((vlookup(A29,importrange(""https://docs.google.com/spreadsheets/d/1arpJoJSlKHkJ-Zn4sJxqp3okt8tUTIYCnkob2xnYiCU/edit?usp=sharing"",""Jan 2026!$A:$AG""),33,0))+(vlookup(A29,importrange(""https://docs.google.com/spreadsheets/d/1arpJoJSlKHkJ-Zn4sJxqp3okt"&amp;"8tUTIYCnkob2xnYiCU/edit?usp=sharing"",""Feb 2026!$A:$AG""),33,0))+(vlookup(A29,importrange(""https://docs.google.com/spreadsheets/d/1arpJoJSlKHkJ-Zn4sJxqp3okt8tUTIYCnkob2xnYiCU/edit?usp=sharing"",""Mar 2026!$A:$AG""),33,0))+(vlookup(A29,importrange(""http"&amp;"s://docs.google.com/spreadsheets/d/1arpJoJSlKHkJ-Zn4sJxqp3okt8tUTIYCnkob2xnYiCU/edit?usp=sharing"",""Apr 2026!$A:$AG""),33,0))+(vlookup(A29,importrange(""https://docs.google.com/spreadsheets/d/1arpJoJSlKHkJ-Zn4sJxqp3okt8tUTIYCnkob2xnYiCU/edit?usp=sharing"&amp;""",""Current Month!$A:$AG""),33,0)))"),0.555555555555555)</f>
        <v>0.55555555555555503</v>
      </c>
      <c r="L25" s="7">
        <f ca="1">IFERROR(__xludf.DUMMYFUNCTION("vlookup(A29,importrange(""https://docs.google.com/spreadsheets/d/1arpJoJSlKHkJ-Zn4sJxqp3okt8tUTIYCnkob2xnYiCU/edit?usp=sharing"",""Current Month!$A:$AP""),42,0)+vlookup(A29,importrange(""https://docs.google.com/spreadsheets/d/1arpJoJSlKHkJ-Zn4sJxqp3okt8tU"&amp;"TIYCnkob2xnYiCU/edit?usp=sharing"",""Jan 2026!$A:$AP""),42,0)+vlookup(A29,importrange(""https://docs.google.com/spreadsheets/d/1arpJoJSlKHkJ-Zn4sJxqp3okt8tUTIYCnkob2xnYiCU/edit?usp=sharing"",""Feb 2026!$A:$AP""),42,0)+vlookup(A29,importrange(""https://doc"&amp;"s.google.com/spreadsheets/d/1arpJoJSlKHkJ-Zn4sJxqp3okt8tUTIYCnkob2xnYiCU/edit?usp=sharing"",""Mar 2026!$A:$AP""),42,0)+vlookup(A29,importrange(""https://docs.google.com/spreadsheets/d/1arpJoJSlKHkJ-Zn4sJxqp3okt8tUTIYCnkob2xnYiCU/edit?usp=sharing"",""Apr 2"&amp;"026!$A:$AP""),42,0)"),2)</f>
        <v>2</v>
      </c>
    </row>
    <row r="26" spans="1:12" ht="15.75" customHeight="1" x14ac:dyDescent="0.35">
      <c r="A26" s="6" t="s">
        <v>35</v>
      </c>
      <c r="B26" s="7">
        <f ca="1">IFERROR(__xludf.DUMMYFUNCTION("vlookup(A30,importrange(""https://docs.google.com/spreadsheets/d/1arpJoJSlKHkJ-Zn4sJxqp3okt8tUTIYCnkob2xnYiCU/edit?usp=sharing"",""Jan 2026!$A:$AH""),34,0)+vlookup(A30,importrange(""https://docs.google.com/spreadsheets/d/1arpJoJSlKHkJ-Zn4sJxqp3okt8tUTIYCn"&amp;"kob2xnYiCU/edit?usp=sharing"",""Feb 2026!$A:$AH""),34,0)+vlookup(A30,importrange(""https://docs.google.com/spreadsheets/d/1arpJoJSlKHkJ-Zn4sJxqp3okt8tUTIYCnkob2xnYiCU/edit?usp=sharing"",""Mar 2026!$A:$AH""),34,0)+vlookup(A30,importrange(""https://docs.goo"&amp;"gle.com/spreadsheets/d/1arpJoJSlKHkJ-Zn4sJxqp3okt8tUTIYCnkob2xnYiCU/edit?usp=sharing"",""Apr 2026!$A:$AH""),34,0)+vlookup(A30,importrange(""https://docs.google.com/spreadsheets/d/1arpJoJSlKHkJ-Zn4sJxqp3okt8tUTIYCnkob2xnYiCU/edit?usp=sharing"",""May 2026!$"&amp;"A:$AH""),34,0)+vlookup(A30,importrange(""https://docs.google.com/spreadsheets/d/1arpJoJSlKHkJ-Zn4sJxqp3okt8tUTIYCnkob2xnYiCU/edit?usp=sharing"",""June 2026!$A:$AH""),34,0)+vlookup(A30,importrange(""https://docs.google.com/spreadsheets/d/1arpJoJSlKHkJ-Zn4s"&amp;"Jxqp3okt8tUTIYCnkob2xnYiCU/edit?usp=sharing"",""Current Month!$A:$AH""),34,0)"),1)</f>
        <v>1</v>
      </c>
      <c r="C26" s="7">
        <f ca="1">IFERROR(__xludf.DUMMYFUNCTION("vlookup(A30,importrange(""https://docs.google.com/spreadsheets/d/1arpJoJSlKHkJ-Zn4sJxqp3okt8tUTIYCnkob2xnYiCU/edit?usp=sharing"",""Jan 2026!$A:$AI""),35,0)+vlookup(A30,importrange(""https://docs.google.com/spreadsheets/d/1arpJoJSlKHkJ-Zn4sJxqp3okt8tUTIYCn"&amp;"kob2xnYiCU/edit?usp=sharing"",""Feb 2026!$A:$AI""),35,0)+vlookup(A30,importrange(""https://docs.google.com/spreadsheets/d/1arpJoJSlKHkJ-Zn4sJxqp3okt8tUTIYCnkob2xnYiCU/edit?usp=sharing"",""Mar 2026!$A:$AI""),35,0)+vlookup(A30,importrange(""https://docs.goo"&amp;"gle.com/spreadsheets/d/1arpJoJSlKHkJ-Zn4sJxqp3okt8tUTIYCnkob2xnYiCU/edit?usp=sharing"",""Apr 2026!$A:$AI""),35,0)+vlookup(A30,importrange(""https://docs.google.com/spreadsheets/d/1arpJoJSlKHkJ-Zn4sJxqp3okt8tUTIYCnkob2xnYiCU/edit?usp=sharing"",""May 2026!$"&amp;"A:$AI""),35,0)+vlookup(A30,importrange(""https://docs.google.com/spreadsheets/d/1arpJoJSlKHkJ-Zn4sJxqp3okt8tUTIYCnkob2xnYiCU/edit?usp=sharing"",""June 2026!$A:$AI""),35,0)+vlookup(A30,importrange(""https://docs.google.com/spreadsheets/d/1arpJoJSlKHkJ-Zn4s"&amp;"Jxqp3okt8tUTIYCnkob2xnYiCU/edit?usp=sharing"",""Current Month!$A:$AI""),35,0)"),6)</f>
        <v>6</v>
      </c>
      <c r="D26" s="7">
        <f ca="1">IFERROR(__xludf.DUMMYFUNCTION("vlookup(A30,importrange(""https://docs.google.com/spreadsheets/d/1arpJoJSlKHkJ-Zn4sJxqp3okt8tUTIYCnkob2xnYiCU/edit?usp=sharing"",""Jan 2026!$A:$AJ""),36,0)+vlookup(A30,importrange(""https://docs.google.com/spreadsheets/d/1arpJoJSlKHkJ-Zn4sJxqp3okt8tUTIYCn"&amp;"kob2xnYiCU/edit?usp=sharing"",""Feb 2026!$A:$AJ""),36,0)+vlookup(A30,importrange(""https://docs.google.com/spreadsheets/d/1arpJoJSlKHkJ-Zn4sJxqp3okt8tUTIYCnkob2xnYiCU/edit?usp=sharing"",""Mar 2026!$A:$AJ""),36,0)+vlookup(A30,importrange(""https://docs.goo"&amp;"gle.com/spreadsheets/d/1arpJoJSlKHkJ-Zn4sJxqp3okt8tUTIYCnkob2xnYiCU/edit?usp=sharing"",""Apr 2026!$A:$AJ""),36,0)+vlookup(A30,importrange(""https://docs.google.com/spreadsheets/d/1arpJoJSlKHkJ-Zn4sJxqp3okt8tUTIYCnkob2xnYiCU/edit?usp=sharing"",""May 2026!$"&amp;"A:$AJ""),36,0)+vlookup(A30,importrange(""https://docs.google.com/spreadsheets/d/1arpJoJSlKHkJ-Zn4sJxqp3okt8tUTIYCnkob2xnYiCU/edit?usp=sharing"",""June 2026!$A:$AJ""),36,0)+vlookup(A30,importrange(""https://docs.google.com/spreadsheets/d/1arpJoJSlKHkJ-Zn4s"&amp;"Jxqp3okt8tUTIYCnkob2xnYiCU/edit?usp=sharing"",""Current Month!$A:$AJ""),36,0)"),0)</f>
        <v>0</v>
      </c>
      <c r="E26" s="7">
        <f ca="1">IFERROR(__xludf.DUMMYFUNCTION("vlookup(A30,importrange(""https://docs.google.com/spreadsheets/d/1arpJoJSlKHkJ-Zn4sJxqp3okt8tUTIYCnkob2xnYiCU/edit?usp=sharing"",""Jan 2026!$A:$AK""),37,0)+vlookup(A30,importrange(""https://docs.google.com/spreadsheets/d/1arpJoJSlKHkJ-Zn4sJxqp3okt8tUTIYCn"&amp;"kob2xnYiCU/edit?usp=sharing"",""Feb 2026!$A:$AK""),37,0)+vlookup(A30,importrange(""https://docs.google.com/spreadsheets/d/1arpJoJSlKHkJ-Zn4sJxqp3okt8tUTIYCnkob2xnYiCU/edit?usp=sharing"",""Mar 2026!$A:$AK""),37,0)+vlookup(A30,importrange(""https://docs.goo"&amp;"gle.com/spreadsheets/d/1arpJoJSlKHkJ-Zn4sJxqp3okt8tUTIYCnkob2xnYiCU/edit?usp=sharing"",""Apr 2026!$A:$AK""),37,0)+vlookup(A30,importrange(""https://docs.google.com/spreadsheets/d/1arpJoJSlKHkJ-Zn4sJxqp3okt8tUTIYCnkob2xnYiCU/edit?usp=sharing"",""May 2026!$"&amp;"A:$AK""),37,0)+vlookup(A30,importrange(""https://docs.google.com/spreadsheets/d/1arpJoJSlKHkJ-Zn4sJxqp3okt8tUTIYCnkob2xnYiCU/edit?usp=sharing"",""June 2026!$A:$AK""),37,0)+vlookup(A30,importrange(""https://docs.google.com/spreadsheets/d/1arpJoJSlKHkJ-Zn4s"&amp;"Jxqp3okt8tUTIYCnkob2xnYiCU/edit?usp=sharing"",""Current Month!$A:$AK""),37,0)"),0)</f>
        <v>0</v>
      </c>
      <c r="F26" s="7">
        <f t="shared" ca="1" si="0"/>
        <v>2</v>
      </c>
      <c r="G26" s="7">
        <f ca="1">IFERROR(__xludf.DUMMYFUNCTION("vlookup(A30,importrange(""https://docs.google.com/spreadsheets/d/1arpJoJSlKHkJ-Zn4sJxqp3okt8tUTIYCnkob2xnYiCU/edit?usp=sharing"",""Jan 2026!$A:$AN""),40,0)+vlookup(A30,importrange(""https://docs.google.com/spreadsheets/d/1arpJoJSlKHkJ-Zn4sJxqp3okt8tUTIYCn"&amp;"kob2xnYiCU/edit?usp=sharing"",""Feb 2026!$A:$AN""),40,0)+vlookup(A30,importrange(""https://docs.google.com/spreadsheets/d/1arpJoJSlKHkJ-Zn4sJxqp3okt8tUTIYCnkob2xnYiCU/edit?usp=sharing"",""Mar 2026!$A:$AN""),40,0)+vlookup(A30,importrange(""https://docs.goo"&amp;"gle.com/spreadsheets/d/1arpJoJSlKHkJ-Zn4sJxqp3okt8tUTIYCnkob2xnYiCU/edit?usp=sharing"",""Apr 2026!$A:$AN""),40,0)+vlookup(A30,importrange(""https://docs.google.com/spreadsheets/d/1arpJoJSlKHkJ-Zn4sJxqp3okt8tUTIYCnkob2xnYiCU/edit?usp=sharing"",""May 2026!$"&amp;"A:$AN""),40,0)+vlookup(A30,importrange(""https://docs.google.com/spreadsheets/d/1arpJoJSlKHkJ-Zn4sJxqp3okt8tUTIYCnkob2xnYiCU/edit?usp=sharing"",""June 2026!$A:$AN""),40,0)+vlookup(A30,importrange(""https://docs.google.com/spreadsheets/d/1arpJoJSlKHkJ-Zn4s"&amp;"Jxqp3okt8tUTIYCnkob2xnYiCU/edit?usp=sharing"",""Current Month!$A:$AN""),40,0)"),2)</f>
        <v>2</v>
      </c>
      <c r="H26" s="7">
        <v>12</v>
      </c>
      <c r="I26" s="8">
        <f t="shared" ca="1" si="1"/>
        <v>14</v>
      </c>
      <c r="J26" s="7">
        <f ca="1">IFERROR(__xludf.DUMMYFUNCTION("vlookup(A30,importrange(""https://docs.google.com/spreadsheets/d/1arpJoJSlKHkJ-Zn4sJxqp3okt8tUTIYCnkob2xnYiCU/edit?usp=sharing"",""Jan 2026!$A:$AP""),41,0)+vlookup(A30,importrange(""https://docs.google.com/spreadsheets/d/1arpJoJSlKHkJ-Zn4sJxqp3okt8tUTIYCn"&amp;"kob2xnYiCU/edit?usp=sharing"",""Feb 2026!$A:$AP""),41,0)+vlookup(A30,importrange(""https://docs.google.com/spreadsheets/d/1arpJoJSlKHkJ-Zn4sJxqp3okt8tUTIYCnkob2xnYiCU/edit?usp=sharing"",""Mar 2026!$A:$AP""),41,0)+vlookup(A30,importrange(""https://docs.goo"&amp;"gle.com/spreadsheets/d/1arpJoJSlKHkJ-Zn4sJxqp3okt8tUTIYCnkob2xnYiCU/edit?usp=sharing"",""Current Month!$A:$AP""),41,0)"),38)</f>
        <v>38</v>
      </c>
      <c r="K26" s="9">
        <f ca="1">IFERROR(__xludf.DUMMYFUNCTION("J30/((vlookup(A30,importrange(""https://docs.google.com/spreadsheets/d/1arpJoJSlKHkJ-Zn4sJxqp3okt8tUTIYCnkob2xnYiCU/edit?usp=sharing"",""Jan 2026!$A:$AG""),33,0))+(vlookup(A30,importrange(""https://docs.google.com/spreadsheets/d/1arpJoJSlKHkJ-Zn4sJxqp3okt"&amp;"8tUTIYCnkob2xnYiCU/edit?usp=sharing"",""Feb 2026!$A:$AG""),33,0))+(vlookup(A30,importrange(""https://docs.google.com/spreadsheets/d/1arpJoJSlKHkJ-Zn4sJxqp3okt8tUTIYCnkob2xnYiCU/edit?usp=sharing"",""Mar 2026!$A:$AG""),33,0))+(vlookup(A30,importrange(""http"&amp;"s://docs.google.com/spreadsheets/d/1arpJoJSlKHkJ-Zn4sJxqp3okt8tUTIYCnkob2xnYiCU/edit?usp=sharing"",""Apr 2026!$A:$AG""),33,0))+(vlookup(A30,importrange(""https://docs.google.com/spreadsheets/d/1arpJoJSlKHkJ-Zn4sJxqp3okt8tUTIYCnkob2xnYiCU/edit?usp=sharing"&amp;""",""Current Month!$A:$AG""),33,0)))"),0.408602150537634)</f>
        <v>0.40860215053763399</v>
      </c>
      <c r="L26" s="7">
        <f ca="1">IFERROR(__xludf.DUMMYFUNCTION("vlookup(A30,importrange(""https://docs.google.com/spreadsheets/d/1arpJoJSlKHkJ-Zn4sJxqp3okt8tUTIYCnkob2xnYiCU/edit?usp=sharing"",""Current Month!$A:$AP""),42,0)+vlookup(A30,importrange(""https://docs.google.com/spreadsheets/d/1arpJoJSlKHkJ-Zn4sJxqp3okt8tU"&amp;"TIYCnkob2xnYiCU/edit?usp=sharing"",""Jan 2026!$A:$AP""),42,0)+vlookup(A30,importrange(""https://docs.google.com/spreadsheets/d/1arpJoJSlKHkJ-Zn4sJxqp3okt8tUTIYCnkob2xnYiCU/edit?usp=sharing"",""Feb 2026!$A:$AP""),42,0)+vlookup(A30,importrange(""https://doc"&amp;"s.google.com/spreadsheets/d/1arpJoJSlKHkJ-Zn4sJxqp3okt8tUTIYCnkob2xnYiCU/edit?usp=sharing"",""Mar 2026!$A:$AP""),42,0)+vlookup(A30,importrange(""https://docs.google.com/spreadsheets/d/1arpJoJSlKHkJ-Zn4sJxqp3okt8tUTIYCnkob2xnYiCU/edit?usp=sharing"",""Apr 2"&amp;"026!$A:$AP""),42,0)"),6)</f>
        <v>6</v>
      </c>
    </row>
    <row r="27" spans="1:12" ht="15.75" customHeight="1" x14ac:dyDescent="0.35">
      <c r="A27" s="6" t="s">
        <v>36</v>
      </c>
      <c r="B27" s="7">
        <f ca="1">IFERROR(__xludf.DUMMYFUNCTION("vlookup(A31,importrange(""https://docs.google.com/spreadsheets/d/1arpJoJSlKHkJ-Zn4sJxqp3okt8tUTIYCnkob2xnYiCU/edit?usp=sharing"",""Jan 2026!$A:$AH""),34,0)+vlookup(A31,importrange(""https://docs.google.com/spreadsheets/d/1arpJoJSlKHkJ-Zn4sJxqp3okt8tUTIYCn"&amp;"kob2xnYiCU/edit?usp=sharing"",""Feb 2026!$A:$AH""),34,0)+vlookup(A31,importrange(""https://docs.google.com/spreadsheets/d/1arpJoJSlKHkJ-Zn4sJxqp3okt8tUTIYCnkob2xnYiCU/edit?usp=sharing"",""Mar 2026!$A:$AH""),34,0)+vlookup(A31,importrange(""https://docs.goo"&amp;"gle.com/spreadsheets/d/1arpJoJSlKHkJ-Zn4sJxqp3okt8tUTIYCnkob2xnYiCU/edit?usp=sharing"",""Apr 2026!$A:$AH""),34,0)+vlookup(A31,importrange(""https://docs.google.com/spreadsheets/d/1arpJoJSlKHkJ-Zn4sJxqp3okt8tUTIYCnkob2xnYiCU/edit?usp=sharing"",""May 2026!$"&amp;"A:$AH""),34,0)+vlookup(A31,importrange(""https://docs.google.com/spreadsheets/d/1arpJoJSlKHkJ-Zn4sJxqp3okt8tUTIYCnkob2xnYiCU/edit?usp=sharing"",""June 2026!$A:$AH""),34,0)+vlookup(A31,importrange(""https://docs.google.com/spreadsheets/d/1arpJoJSlKHkJ-Zn4s"&amp;"Jxqp3okt8tUTIYCnkob2xnYiCU/edit?usp=sharing"",""Current Month!$A:$AH""),34,0)"),12)</f>
        <v>12</v>
      </c>
      <c r="C27" s="7">
        <f ca="1">IFERROR(__xludf.DUMMYFUNCTION("vlookup(A31,importrange(""https://docs.google.com/spreadsheets/d/1arpJoJSlKHkJ-Zn4sJxqp3okt8tUTIYCnkob2xnYiCU/edit?usp=sharing"",""Jan 2026!$A:$AI""),35,0)+vlookup(A31,importrange(""https://docs.google.com/spreadsheets/d/1arpJoJSlKHkJ-Zn4sJxqp3okt8tUTIYCn"&amp;"kob2xnYiCU/edit?usp=sharing"",""Feb 2026!$A:$AI""),35,0)+vlookup(A31,importrange(""https://docs.google.com/spreadsheets/d/1arpJoJSlKHkJ-Zn4sJxqp3okt8tUTIYCnkob2xnYiCU/edit?usp=sharing"",""Mar 2026!$A:$AI""),35,0)+vlookup(A31,importrange(""https://docs.goo"&amp;"gle.com/spreadsheets/d/1arpJoJSlKHkJ-Zn4sJxqp3okt8tUTIYCnkob2xnYiCU/edit?usp=sharing"",""Apr 2026!$A:$AI""),35,0)+vlookup(A31,importrange(""https://docs.google.com/spreadsheets/d/1arpJoJSlKHkJ-Zn4sJxqp3okt8tUTIYCnkob2xnYiCU/edit?usp=sharing"",""May 2026!$"&amp;"A:$AI""),35,0)+vlookup(A31,importrange(""https://docs.google.com/spreadsheets/d/1arpJoJSlKHkJ-Zn4sJxqp3okt8tUTIYCnkob2xnYiCU/edit?usp=sharing"",""June 2026!$A:$AI""),35,0)+vlookup(A31,importrange(""https://docs.google.com/spreadsheets/d/1arpJoJSlKHkJ-Zn4s"&amp;"Jxqp3okt8tUTIYCnkob2xnYiCU/edit?usp=sharing"",""Current Month!$A:$AI""),35,0)"),2)</f>
        <v>2</v>
      </c>
      <c r="D27" s="7">
        <f ca="1">IFERROR(__xludf.DUMMYFUNCTION("vlookup(A31,importrange(""https://docs.google.com/spreadsheets/d/1arpJoJSlKHkJ-Zn4sJxqp3okt8tUTIYCnkob2xnYiCU/edit?usp=sharing"",""Jan 2026!$A:$AJ""),36,0)+vlookup(A31,importrange(""https://docs.google.com/spreadsheets/d/1arpJoJSlKHkJ-Zn4sJxqp3okt8tUTIYCn"&amp;"kob2xnYiCU/edit?usp=sharing"",""Feb 2026!$A:$AJ""),36,0)+vlookup(A31,importrange(""https://docs.google.com/spreadsheets/d/1arpJoJSlKHkJ-Zn4sJxqp3okt8tUTIYCnkob2xnYiCU/edit?usp=sharing"",""Mar 2026!$A:$AJ""),36,0)+vlookup(A31,importrange(""https://docs.goo"&amp;"gle.com/spreadsheets/d/1arpJoJSlKHkJ-Zn4sJxqp3okt8tUTIYCnkob2xnYiCU/edit?usp=sharing"",""Apr 2026!$A:$AJ""),36,0)+vlookup(A31,importrange(""https://docs.google.com/spreadsheets/d/1arpJoJSlKHkJ-Zn4sJxqp3okt8tUTIYCnkob2xnYiCU/edit?usp=sharing"",""May 2026!$"&amp;"A:$AJ""),36,0)+vlookup(A31,importrange(""https://docs.google.com/spreadsheets/d/1arpJoJSlKHkJ-Zn4sJxqp3okt8tUTIYCnkob2xnYiCU/edit?usp=sharing"",""June 2026!$A:$AJ""),36,0)+vlookup(A31,importrange(""https://docs.google.com/spreadsheets/d/1arpJoJSlKHkJ-Zn4s"&amp;"Jxqp3okt8tUTIYCnkob2xnYiCU/edit?usp=sharing"",""Current Month!$A:$AJ""),36,0)"),0)</f>
        <v>0</v>
      </c>
      <c r="E27" s="7">
        <f ca="1">IFERROR(__xludf.DUMMYFUNCTION("vlookup(A31,importrange(""https://docs.google.com/spreadsheets/d/1arpJoJSlKHkJ-Zn4sJxqp3okt8tUTIYCnkob2xnYiCU/edit?usp=sharing"",""Jan 2026!$A:$AK""),37,0)+vlookup(A31,importrange(""https://docs.google.com/spreadsheets/d/1arpJoJSlKHkJ-Zn4sJxqp3okt8tUTIYCn"&amp;"kob2xnYiCU/edit?usp=sharing"",""Feb 2026!$A:$AK""),37,0)+vlookup(A31,importrange(""https://docs.google.com/spreadsheets/d/1arpJoJSlKHkJ-Zn4sJxqp3okt8tUTIYCnkob2xnYiCU/edit?usp=sharing"",""Mar 2026!$A:$AK""),37,0)+vlookup(A31,importrange(""https://docs.goo"&amp;"gle.com/spreadsheets/d/1arpJoJSlKHkJ-Zn4sJxqp3okt8tUTIYCnkob2xnYiCU/edit?usp=sharing"",""Apr 2026!$A:$AK""),37,0)+vlookup(A31,importrange(""https://docs.google.com/spreadsheets/d/1arpJoJSlKHkJ-Zn4sJxqp3okt8tUTIYCnkob2xnYiCU/edit?usp=sharing"",""May 2026!$"&amp;"A:$AK""),37,0)+vlookup(A31,importrange(""https://docs.google.com/spreadsheets/d/1arpJoJSlKHkJ-Zn4sJxqp3okt8tUTIYCnkob2xnYiCU/edit?usp=sharing"",""June 2026!$A:$AK""),37,0)+vlookup(A31,importrange(""https://docs.google.com/spreadsheets/d/1arpJoJSlKHkJ-Zn4s"&amp;"Jxqp3okt8tUTIYCnkob2xnYiCU/edit?usp=sharing"",""Current Month!$A:$AK""),37,0)"),0)</f>
        <v>0</v>
      </c>
      <c r="F27" s="7">
        <f t="shared" ca="1" si="0"/>
        <v>4</v>
      </c>
      <c r="G27" s="7">
        <f ca="1">IFERROR(__xludf.DUMMYFUNCTION("vlookup(A31,importrange(""https://docs.google.com/spreadsheets/d/1arpJoJSlKHkJ-Zn4sJxqp3okt8tUTIYCnkob2xnYiCU/edit?usp=sharing"",""Jan 2026!$A:$AN""),40,0)+vlookup(A31,importrange(""https://docs.google.com/spreadsheets/d/1arpJoJSlKHkJ-Zn4sJxqp3okt8tUTIYCn"&amp;"kob2xnYiCU/edit?usp=sharing"",""Feb 2026!$A:$AN""),40,0)+vlookup(A31,importrange(""https://docs.google.com/spreadsheets/d/1arpJoJSlKHkJ-Zn4sJxqp3okt8tUTIYCnkob2xnYiCU/edit?usp=sharing"",""Mar 2026!$A:$AN""),40,0)+vlookup(A31,importrange(""https://docs.goo"&amp;"gle.com/spreadsheets/d/1arpJoJSlKHkJ-Zn4sJxqp3okt8tUTIYCnkob2xnYiCU/edit?usp=sharing"",""Apr 2026!$A:$AN""),40,0)+vlookup(A31,importrange(""https://docs.google.com/spreadsheets/d/1arpJoJSlKHkJ-Zn4sJxqp3okt8tUTIYCnkob2xnYiCU/edit?usp=sharing"",""May 2026!$"&amp;"A:$AN""),40,0)+vlookup(A31,importrange(""https://docs.google.com/spreadsheets/d/1arpJoJSlKHkJ-Zn4sJxqp3okt8tUTIYCnkob2xnYiCU/edit?usp=sharing"",""June 2026!$A:$AN""),40,0)+vlookup(A31,importrange(""https://docs.google.com/spreadsheets/d/1arpJoJSlKHkJ-Zn4s"&amp;"Jxqp3okt8tUTIYCnkob2xnYiCU/edit?usp=sharing"",""Current Month!$A:$AN""),40,0)"),0)</f>
        <v>0</v>
      </c>
      <c r="H27" s="7">
        <v>12</v>
      </c>
      <c r="I27" s="8">
        <f t="shared" ca="1" si="1"/>
        <v>7</v>
      </c>
      <c r="J27" s="7">
        <f ca="1">IFERROR(__xludf.DUMMYFUNCTION("vlookup(A31,importrange(""https://docs.google.com/spreadsheets/d/1arpJoJSlKHkJ-Zn4sJxqp3okt8tUTIYCnkob2xnYiCU/edit?usp=sharing"",""Jan 2026!$A:$AP""),41,0)+vlookup(A31,importrange(""https://docs.google.com/spreadsheets/d/1arpJoJSlKHkJ-Zn4sJxqp3okt8tUTIYCn"&amp;"kob2xnYiCU/edit?usp=sharing"",""Feb 2026!$A:$AP""),41,0)+vlookup(A31,importrange(""https://docs.google.com/spreadsheets/d/1arpJoJSlKHkJ-Zn4sJxqp3okt8tUTIYCnkob2xnYiCU/edit?usp=sharing"",""Mar 2026!$A:$AP""),41,0)+vlookup(A31,importrange(""https://docs.goo"&amp;"gle.com/spreadsheets/d/1arpJoJSlKHkJ-Zn4sJxqp3okt8tUTIYCnkob2xnYiCU/edit?usp=sharing"",""Current Month!$A:$AP""),41,0)"),7)</f>
        <v>7</v>
      </c>
      <c r="K27" s="9">
        <f ca="1">IFERROR(__xludf.DUMMYFUNCTION("J31/((vlookup(A31,importrange(""https://docs.google.com/spreadsheets/d/1arpJoJSlKHkJ-Zn4sJxqp3okt8tUTIYCnkob2xnYiCU/edit?usp=sharing"",""Jan 2026!$A:$AG""),33,0))+(vlookup(A31,importrange(""https://docs.google.com/spreadsheets/d/1arpJoJSlKHkJ-Zn4sJxqp3okt"&amp;"8tUTIYCnkob2xnYiCU/edit?usp=sharing"",""Feb 2026!$A:$AG""),33,0))+(vlookup(A31,importrange(""https://docs.google.com/spreadsheets/d/1arpJoJSlKHkJ-Zn4sJxqp3okt8tUTIYCnkob2xnYiCU/edit?usp=sharing"",""Mar 2026!$A:$AG""),33,0))+(vlookup(A31,importrange(""http"&amp;"s://docs.google.com/spreadsheets/d/1arpJoJSlKHkJ-Zn4sJxqp3okt8tUTIYCnkob2xnYiCU/edit?usp=sharing"",""Apr 2026!$A:$AG""),33,0))+(vlookup(A31,importrange(""https://docs.google.com/spreadsheets/d/1arpJoJSlKHkJ-Zn4sJxqp3okt8tUTIYCnkob2xnYiCU/edit?usp=sharing"&amp;""",""Current Month!$A:$AG""),33,0)))"),0.0729166666666666)</f>
        <v>7.2916666666666602E-2</v>
      </c>
      <c r="L27" s="7">
        <f ca="1">IFERROR(__xludf.DUMMYFUNCTION("vlookup(A31,importrange(""https://docs.google.com/spreadsheets/d/1arpJoJSlKHkJ-Zn4sJxqp3okt8tUTIYCnkob2xnYiCU/edit?usp=sharing"",""Current Month!$A:$AP""),42,0)+vlookup(A31,importrange(""https://docs.google.com/spreadsheets/d/1arpJoJSlKHkJ-Zn4sJxqp3okt8tU"&amp;"TIYCnkob2xnYiCU/edit?usp=sharing"",""Jan 2026!$A:$AP""),42,0)+vlookup(A31,importrange(""https://docs.google.com/spreadsheets/d/1arpJoJSlKHkJ-Zn4sJxqp3okt8tUTIYCnkob2xnYiCU/edit?usp=sharing"",""Feb 2026!$A:$AP""),42,0)+vlookup(A31,importrange(""https://doc"&amp;"s.google.com/spreadsheets/d/1arpJoJSlKHkJ-Zn4sJxqp3okt8tUTIYCnkob2xnYiCU/edit?usp=sharing"",""Mar 2026!$A:$AP""),42,0)+vlookup(A31,importrange(""https://docs.google.com/spreadsheets/d/1arpJoJSlKHkJ-Zn4sJxqp3okt8tUTIYCnkob2xnYiCU/edit?usp=sharing"",""Apr 2"&amp;"026!$A:$AP""),42,0)"),1)</f>
        <v>1</v>
      </c>
    </row>
    <row r="28" spans="1:12" ht="15.75" customHeight="1" x14ac:dyDescent="0.35">
      <c r="A28" s="6" t="s">
        <v>37</v>
      </c>
      <c r="B28" s="7">
        <f ca="1">IFERROR(__xludf.DUMMYFUNCTION("vlookup(A32,importrange(""https://docs.google.com/spreadsheets/d/1arpJoJSlKHkJ-Zn4sJxqp3okt8tUTIYCnkob2xnYiCU/edit?usp=sharing"",""Jan 2026!$A:$AH""),34,0)+vlookup(A32,importrange(""https://docs.google.com/spreadsheets/d/1arpJoJSlKHkJ-Zn4sJxqp3okt8tUTIYCn"&amp;"kob2xnYiCU/edit?usp=sharing"",""Feb 2026!$A:$AH""),34,0)+vlookup(A32,importrange(""https://docs.google.com/spreadsheets/d/1arpJoJSlKHkJ-Zn4sJxqp3okt8tUTIYCnkob2xnYiCU/edit?usp=sharing"",""Mar 2026!$A:$AH""),34,0)+vlookup(A32,importrange(""https://docs.goo"&amp;"gle.com/spreadsheets/d/1arpJoJSlKHkJ-Zn4sJxqp3okt8tUTIYCnkob2xnYiCU/edit?usp=sharing"",""Apr 2026!$A:$AH""),34,0)+vlookup(A32,importrange(""https://docs.google.com/spreadsheets/d/1arpJoJSlKHkJ-Zn4sJxqp3okt8tUTIYCnkob2xnYiCU/edit?usp=sharing"",""May 2026!$"&amp;"A:$AH""),34,0)+vlookup(A32,importrange(""https://docs.google.com/spreadsheets/d/1arpJoJSlKHkJ-Zn4sJxqp3okt8tUTIYCnkob2xnYiCU/edit?usp=sharing"",""June 2026!$A:$AH""),34,0)+vlookup(A32,importrange(""https://docs.google.com/spreadsheets/d/1arpJoJSlKHkJ-Zn4s"&amp;"Jxqp3okt8tUTIYCnkob2xnYiCU/edit?usp=sharing"",""Current Month!$A:$AH""),34,0)"),11)</f>
        <v>11</v>
      </c>
      <c r="C28" s="7">
        <f ca="1">IFERROR(__xludf.DUMMYFUNCTION("vlookup(A32,importrange(""https://docs.google.com/spreadsheets/d/1arpJoJSlKHkJ-Zn4sJxqp3okt8tUTIYCnkob2xnYiCU/edit?usp=sharing"",""Jan 2026!$A:$AI""),35,0)+vlookup(A32,importrange(""https://docs.google.com/spreadsheets/d/1arpJoJSlKHkJ-Zn4sJxqp3okt8tUTIYCn"&amp;"kob2xnYiCU/edit?usp=sharing"",""Feb 2026!$A:$AI""),35,0)+vlookup(A32,importrange(""https://docs.google.com/spreadsheets/d/1arpJoJSlKHkJ-Zn4sJxqp3okt8tUTIYCnkob2xnYiCU/edit?usp=sharing"",""Mar 2026!$A:$AI""),35,0)+vlookup(A32,importrange(""https://docs.goo"&amp;"gle.com/spreadsheets/d/1arpJoJSlKHkJ-Zn4sJxqp3okt8tUTIYCnkob2xnYiCU/edit?usp=sharing"",""Apr 2026!$A:$AI""),35,0)+vlookup(A32,importrange(""https://docs.google.com/spreadsheets/d/1arpJoJSlKHkJ-Zn4sJxqp3okt8tUTIYCnkob2xnYiCU/edit?usp=sharing"",""May 2026!$"&amp;"A:$AI""),35,0)+vlookup(A32,importrange(""https://docs.google.com/spreadsheets/d/1arpJoJSlKHkJ-Zn4sJxqp3okt8tUTIYCnkob2xnYiCU/edit?usp=sharing"",""June 2026!$A:$AI""),35,0)+vlookup(A32,importrange(""https://docs.google.com/spreadsheets/d/1arpJoJSlKHkJ-Zn4s"&amp;"Jxqp3okt8tUTIYCnkob2xnYiCU/edit?usp=sharing"",""Current Month!$A:$AI""),35,0)"),3)</f>
        <v>3</v>
      </c>
      <c r="D28" s="7">
        <f ca="1">IFERROR(__xludf.DUMMYFUNCTION("vlookup(A32,importrange(""https://docs.google.com/spreadsheets/d/1arpJoJSlKHkJ-Zn4sJxqp3okt8tUTIYCnkob2xnYiCU/edit?usp=sharing"",""Jan 2026!$A:$AJ""),36,0)+vlookup(A32,importrange(""https://docs.google.com/spreadsheets/d/1arpJoJSlKHkJ-Zn4sJxqp3okt8tUTIYCn"&amp;"kob2xnYiCU/edit?usp=sharing"",""Feb 2026!$A:$AJ""),36,0)+vlookup(A32,importrange(""https://docs.google.com/spreadsheets/d/1arpJoJSlKHkJ-Zn4sJxqp3okt8tUTIYCnkob2xnYiCU/edit?usp=sharing"",""Mar 2026!$A:$AJ""),36,0)+vlookup(A32,importrange(""https://docs.goo"&amp;"gle.com/spreadsheets/d/1arpJoJSlKHkJ-Zn4sJxqp3okt8tUTIYCnkob2xnYiCU/edit?usp=sharing"",""Apr 2026!$A:$AJ""),36,0)+vlookup(A32,importrange(""https://docs.google.com/spreadsheets/d/1arpJoJSlKHkJ-Zn4sJxqp3okt8tUTIYCnkob2xnYiCU/edit?usp=sharing"",""May 2026!$"&amp;"A:$AJ""),36,0)+vlookup(A32,importrange(""https://docs.google.com/spreadsheets/d/1arpJoJSlKHkJ-Zn4sJxqp3okt8tUTIYCnkob2xnYiCU/edit?usp=sharing"",""June 2026!$A:$AJ""),36,0)+vlookup(A32,importrange(""https://docs.google.com/spreadsheets/d/1arpJoJSlKHkJ-Zn4s"&amp;"Jxqp3okt8tUTIYCnkob2xnYiCU/edit?usp=sharing"",""Current Month!$A:$AJ""),36,0)"),0)</f>
        <v>0</v>
      </c>
      <c r="E28" s="7">
        <f ca="1">IFERROR(__xludf.DUMMYFUNCTION("vlookup(A32,importrange(""https://docs.google.com/spreadsheets/d/1arpJoJSlKHkJ-Zn4sJxqp3okt8tUTIYCnkob2xnYiCU/edit?usp=sharing"",""Jan 2026!$A:$AK""),37,0)+vlookup(A32,importrange(""https://docs.google.com/spreadsheets/d/1arpJoJSlKHkJ-Zn4sJxqp3okt8tUTIYCn"&amp;"kob2xnYiCU/edit?usp=sharing"",""Feb 2026!$A:$AK""),37,0)+vlookup(A32,importrange(""https://docs.google.com/spreadsheets/d/1arpJoJSlKHkJ-Zn4sJxqp3okt8tUTIYCnkob2xnYiCU/edit?usp=sharing"",""Mar 2026!$A:$AK""),37,0)+vlookup(A32,importrange(""https://docs.goo"&amp;"gle.com/spreadsheets/d/1arpJoJSlKHkJ-Zn4sJxqp3okt8tUTIYCnkob2xnYiCU/edit?usp=sharing"",""Apr 2026!$A:$AK""),37,0)+vlookup(A32,importrange(""https://docs.google.com/spreadsheets/d/1arpJoJSlKHkJ-Zn4sJxqp3okt8tUTIYCnkob2xnYiCU/edit?usp=sharing"",""May 2026!$"&amp;"A:$AK""),37,0)+vlookup(A32,importrange(""https://docs.google.com/spreadsheets/d/1arpJoJSlKHkJ-Zn4sJxqp3okt8tUTIYCnkob2xnYiCU/edit?usp=sharing"",""June 2026!$A:$AK""),37,0)+vlookup(A32,importrange(""https://docs.google.com/spreadsheets/d/1arpJoJSlKHkJ-Zn4s"&amp;"Jxqp3okt8tUTIYCnkob2xnYiCU/edit?usp=sharing"",""Current Month!$A:$AK""),37,0)"),0)</f>
        <v>0</v>
      </c>
      <c r="F28" s="7">
        <f t="shared" ca="1" si="0"/>
        <v>3</v>
      </c>
      <c r="G28" s="7">
        <f ca="1">IFERROR(__xludf.DUMMYFUNCTION("vlookup(A32,importrange(""https://docs.google.com/spreadsheets/d/1arpJoJSlKHkJ-Zn4sJxqp3okt8tUTIYCnkob2xnYiCU/edit?usp=sharing"",""Jan 2026!$A:$AN""),40,0)+vlookup(A32,importrange(""https://docs.google.com/spreadsheets/d/1arpJoJSlKHkJ-Zn4sJxqp3okt8tUTIYCn"&amp;"kob2xnYiCU/edit?usp=sharing"",""Feb 2026!$A:$AN""),40,0)+vlookup(A32,importrange(""https://docs.google.com/spreadsheets/d/1arpJoJSlKHkJ-Zn4sJxqp3okt8tUTIYCnkob2xnYiCU/edit?usp=sharing"",""Mar 2026!$A:$AN""),40,0)+vlookup(A32,importrange(""https://docs.goo"&amp;"gle.com/spreadsheets/d/1arpJoJSlKHkJ-Zn4sJxqp3okt8tUTIYCnkob2xnYiCU/edit?usp=sharing"",""Apr 2026!$A:$AN""),40,0)+vlookup(A32,importrange(""https://docs.google.com/spreadsheets/d/1arpJoJSlKHkJ-Zn4sJxqp3okt8tUTIYCnkob2xnYiCU/edit?usp=sharing"",""May 2026!$"&amp;"A:$AN""),40,0)+vlookup(A32,importrange(""https://docs.google.com/spreadsheets/d/1arpJoJSlKHkJ-Zn4sJxqp3okt8tUTIYCnkob2xnYiCU/edit?usp=sharing"",""June 2026!$A:$AN""),40,0)+vlookup(A32,importrange(""https://docs.google.com/spreadsheets/d/1arpJoJSlKHkJ-Zn4s"&amp;"Jxqp3okt8tUTIYCnkob2xnYiCU/edit?usp=sharing"",""Current Month!$A:$AN""),40,0)"),1)</f>
        <v>1</v>
      </c>
      <c r="H28" s="7">
        <v>12</v>
      </c>
      <c r="I28" s="8">
        <f t="shared" ca="1" si="1"/>
        <v>7</v>
      </c>
      <c r="J28" s="7">
        <f ca="1">IFERROR(__xludf.DUMMYFUNCTION("vlookup(A32,importrange(""https://docs.google.com/spreadsheets/d/1arpJoJSlKHkJ-Zn4sJxqp3okt8tUTIYCnkob2xnYiCU/edit?usp=sharing"",""Jan 2026!$A:$AP""),41,0)+vlookup(A32,importrange(""https://docs.google.com/spreadsheets/d/1arpJoJSlKHkJ-Zn4sJxqp3okt8tUTIYCn"&amp;"kob2xnYiCU/edit?usp=sharing"",""Feb 2026!$A:$AP""),41,0)+vlookup(A32,importrange(""https://docs.google.com/spreadsheets/d/1arpJoJSlKHkJ-Zn4sJxqp3okt8tUTIYCnkob2xnYiCU/edit?usp=sharing"",""Mar 2026!$A:$AP""),41,0)+vlookup(A32,importrange(""https://docs.goo"&amp;"gle.com/spreadsheets/d/1arpJoJSlKHkJ-Zn4sJxqp3okt8tUTIYCnkob2xnYiCU/edit?usp=sharing"",""Current Month!$A:$AP""),41,0)"),3)</f>
        <v>3</v>
      </c>
      <c r="K28" s="9">
        <f ca="1">IFERROR(__xludf.DUMMYFUNCTION("J32/((vlookup(A32,importrange(""https://docs.google.com/spreadsheets/d/1arpJoJSlKHkJ-Zn4sJxqp3okt8tUTIYCnkob2xnYiCU/edit?usp=sharing"",""Jan 2026!$A:$AG""),33,0))+(vlookup(A32,importrange(""https://docs.google.com/spreadsheets/d/1arpJoJSlKHkJ-Zn4sJxqp3okt"&amp;"8tUTIYCnkob2xnYiCU/edit?usp=sharing"",""Feb 2026!$A:$AG""),33,0))+(vlookup(A32,importrange(""https://docs.google.com/spreadsheets/d/1arpJoJSlKHkJ-Zn4sJxqp3okt8tUTIYCnkob2xnYiCU/edit?usp=sharing"",""Mar 2026!$A:$AG""),33,0))+(vlookup(A32,importrange(""http"&amp;"s://docs.google.com/spreadsheets/d/1arpJoJSlKHkJ-Zn4sJxqp3okt8tUTIYCnkob2xnYiCU/edit?usp=sharing"",""Apr 2026!$A:$AG""),33,0))+(vlookup(A32,importrange(""https://docs.google.com/spreadsheets/d/1arpJoJSlKHkJ-Zn4sJxqp3okt8tUTIYCnkob2xnYiCU/edit?usp=sharing"&amp;""",""Current Month!$A:$AG""),33,0)))"),0.0326086956521739)</f>
        <v>3.2608695652173898E-2</v>
      </c>
      <c r="L28" s="7">
        <f ca="1">IFERROR(__xludf.DUMMYFUNCTION("vlookup(A32,importrange(""https://docs.google.com/spreadsheets/d/1arpJoJSlKHkJ-Zn4sJxqp3okt8tUTIYCnkob2xnYiCU/edit?usp=sharing"",""Current Month!$A:$AP""),42,0)+vlookup(A32,importrange(""https://docs.google.com/spreadsheets/d/1arpJoJSlKHkJ-Zn4sJxqp3okt8tU"&amp;"TIYCnkob2xnYiCU/edit?usp=sharing"",""Jan 2026!$A:$AP""),42,0)+vlookup(A32,importrange(""https://docs.google.com/spreadsheets/d/1arpJoJSlKHkJ-Zn4sJxqp3okt8tUTIYCnkob2xnYiCU/edit?usp=sharing"",""Feb 2026!$A:$AP""),42,0)+vlookup(A32,importrange(""https://doc"&amp;"s.google.com/spreadsheets/d/1arpJoJSlKHkJ-Zn4sJxqp3okt8tUTIYCnkob2xnYiCU/edit?usp=sharing"",""Mar 2026!$A:$AP""),42,0)+vlookup(A32,importrange(""https://docs.google.com/spreadsheets/d/1arpJoJSlKHkJ-Zn4sJxqp3okt8tUTIYCnkob2xnYiCU/edit?usp=sharing"",""Apr 2"&amp;"026!$A:$AP""),42,0)"),0)</f>
        <v>0</v>
      </c>
    </row>
    <row r="29" spans="1:12" ht="15.75" hidden="1" customHeight="1" x14ac:dyDescent="0.35">
      <c r="A29" s="6" t="s">
        <v>38</v>
      </c>
      <c r="B29" s="7">
        <f ca="1">IFERROR(__xludf.DUMMYFUNCTION("vlookup(A33,importrange(""https://docs.google.com/spreadsheets/d/1arpJoJSlKHkJ-Zn4sJxqp3okt8tUTIYCnkob2xnYiCU/edit?usp=sharing"",""Jan 2026!$A:$AH""),34,0)+vlookup(A33,importrange(""https://docs.google.com/spreadsheets/d/1arpJoJSlKHkJ-Zn4sJxqp3okt8tUTIYCn"&amp;"kob2xnYiCU/edit?usp=sharing"",""Feb 2026!$A:$AH""),34,0)+vlookup(A33,importrange(""https://docs.google.com/spreadsheets/d/1arpJoJSlKHkJ-Zn4sJxqp3okt8tUTIYCnkob2xnYiCU/edit?usp=sharing"",""Mar 2026!$A:$AH""),34,0)+vlookup(A33,importrange(""https://docs.goo"&amp;"gle.com/spreadsheets/d/1arpJoJSlKHkJ-Zn4sJxqp3okt8tUTIYCnkob2xnYiCU/edit?usp=sharing"",""Apr 2026!$A:$AH""),34,0)+vlookup(A33,importrange(""https://docs.google.com/spreadsheets/d/1arpJoJSlKHkJ-Zn4sJxqp3okt8tUTIYCnkob2xnYiCU/edit?usp=sharing"",""May 2026!$"&amp;"A:$AH""),34,0)+vlookup(A33,importrange(""https://docs.google.com/spreadsheets/d/1arpJoJSlKHkJ-Zn4sJxqp3okt8tUTIYCnkob2xnYiCU/edit?usp=sharing"",""June 2026!$A:$AH""),34,0)+vlookup(A33,importrange(""https://docs.google.com/spreadsheets/d/1arpJoJSlKHkJ-Zn4s"&amp;"Jxqp3okt8tUTIYCnkob2xnYiCU/edit?usp=sharing"",""Current Month!$A:$AH""),34,0)"),0)</f>
        <v>0</v>
      </c>
      <c r="C29" s="7">
        <f ca="1">IFERROR(__xludf.DUMMYFUNCTION("vlookup(A33,importrange(""https://docs.google.com/spreadsheets/d/1arpJoJSlKHkJ-Zn4sJxqp3okt8tUTIYCnkob2xnYiCU/edit?usp=sharing"",""Jan 2026!$A:$AI""),35,0)+vlookup(A33,importrange(""https://docs.google.com/spreadsheets/d/1arpJoJSlKHkJ-Zn4sJxqp3okt8tUTIYCn"&amp;"kob2xnYiCU/edit?usp=sharing"",""Feb 2026!$A:$AI""),35,0)+vlookup(A33,importrange(""https://docs.google.com/spreadsheets/d/1arpJoJSlKHkJ-Zn4sJxqp3okt8tUTIYCnkob2xnYiCU/edit?usp=sharing"",""Mar 2026!$A:$AI""),35,0)+vlookup(A33,importrange(""https://docs.goo"&amp;"gle.com/spreadsheets/d/1arpJoJSlKHkJ-Zn4sJxqp3okt8tUTIYCnkob2xnYiCU/edit?usp=sharing"",""Apr 2026!$A:$AI""),35,0)+vlookup(A33,importrange(""https://docs.google.com/spreadsheets/d/1arpJoJSlKHkJ-Zn4sJxqp3okt8tUTIYCnkob2xnYiCU/edit?usp=sharing"",""May 2026!$"&amp;"A:$AI""),35,0)+vlookup(A33,importrange(""https://docs.google.com/spreadsheets/d/1arpJoJSlKHkJ-Zn4sJxqp3okt8tUTIYCnkob2xnYiCU/edit?usp=sharing"",""June 2026!$A:$AI""),35,0)+vlookup(A33,importrange(""https://docs.google.com/spreadsheets/d/1arpJoJSlKHkJ-Zn4s"&amp;"Jxqp3okt8tUTIYCnkob2xnYiCU/edit?usp=sharing"",""Current Month!$A:$AI""),35,0)"),1)</f>
        <v>1</v>
      </c>
      <c r="D29" s="7">
        <f ca="1">IFERROR(__xludf.DUMMYFUNCTION("vlookup(A33,importrange(""https://docs.google.com/spreadsheets/d/1arpJoJSlKHkJ-Zn4sJxqp3okt8tUTIYCnkob2xnYiCU/edit?usp=sharing"",""Jan 2026!$A:$AJ""),36,0)+vlookup(A33,importrange(""https://docs.google.com/spreadsheets/d/1arpJoJSlKHkJ-Zn4sJxqp3okt8tUTIYCn"&amp;"kob2xnYiCU/edit?usp=sharing"",""Feb 2026!$A:$AJ""),36,0)+vlookup(A33,importrange(""https://docs.google.com/spreadsheets/d/1arpJoJSlKHkJ-Zn4sJxqp3okt8tUTIYCnkob2xnYiCU/edit?usp=sharing"",""Mar 2026!$A:$AJ""),36,0)+vlookup(A33,importrange(""https://docs.goo"&amp;"gle.com/spreadsheets/d/1arpJoJSlKHkJ-Zn4sJxqp3okt8tUTIYCnkob2xnYiCU/edit?usp=sharing"",""Apr 2026!$A:$AJ""),36,0)+vlookup(A33,importrange(""https://docs.google.com/spreadsheets/d/1arpJoJSlKHkJ-Zn4sJxqp3okt8tUTIYCnkob2xnYiCU/edit?usp=sharing"",""May 2026!$"&amp;"A:$AJ""),36,0)+vlookup(A33,importrange(""https://docs.google.com/spreadsheets/d/1arpJoJSlKHkJ-Zn4sJxqp3okt8tUTIYCnkob2xnYiCU/edit?usp=sharing"",""June 2026!$A:$AJ""),36,0)+vlookup(A33,importrange(""https://docs.google.com/spreadsheets/d/1arpJoJSlKHkJ-Zn4s"&amp;"Jxqp3okt8tUTIYCnkob2xnYiCU/edit?usp=sharing"",""Current Month!$A:$AJ""),36,0)"),0)</f>
        <v>0</v>
      </c>
      <c r="E29" s="7">
        <f ca="1">IFERROR(__xludf.DUMMYFUNCTION("vlookup(A33,importrange(""https://docs.google.com/spreadsheets/d/1arpJoJSlKHkJ-Zn4sJxqp3okt8tUTIYCnkob2xnYiCU/edit?usp=sharing"",""Jan 2026!$A:$AK""),37,0)+vlookup(A33,importrange(""https://docs.google.com/spreadsheets/d/1arpJoJSlKHkJ-Zn4sJxqp3okt8tUTIYCn"&amp;"kob2xnYiCU/edit?usp=sharing"",""Feb 2026!$A:$AK""),37,0)+vlookup(A33,importrange(""https://docs.google.com/spreadsheets/d/1arpJoJSlKHkJ-Zn4sJxqp3okt8tUTIYCnkob2xnYiCU/edit?usp=sharing"",""Mar 2026!$A:$AK""),37,0)+vlookup(A33,importrange(""https://docs.goo"&amp;"gle.com/spreadsheets/d/1arpJoJSlKHkJ-Zn4sJxqp3okt8tUTIYCnkob2xnYiCU/edit?usp=sharing"",""Apr 2026!$A:$AK""),37,0)+vlookup(A33,importrange(""https://docs.google.com/spreadsheets/d/1arpJoJSlKHkJ-Zn4sJxqp3okt8tUTIYCnkob2xnYiCU/edit?usp=sharing"",""May 2026!$"&amp;"A:$AK""),37,0)+vlookup(A33,importrange(""https://docs.google.com/spreadsheets/d/1arpJoJSlKHkJ-Zn4sJxqp3okt8tUTIYCnkob2xnYiCU/edit?usp=sharing"",""June 2026!$A:$AK""),37,0)+vlookup(A33,importrange(""https://docs.google.com/spreadsheets/d/1arpJoJSlKHkJ-Zn4s"&amp;"Jxqp3okt8tUTIYCnkob2xnYiCU/edit?usp=sharing"",""Current Month!$A:$AK""),37,0)"),0)</f>
        <v>0</v>
      </c>
      <c r="F29" s="7">
        <f t="shared" ca="1" si="0"/>
        <v>4</v>
      </c>
      <c r="G29" s="7">
        <f ca="1">IFERROR(__xludf.DUMMYFUNCTION("vlookup(A33,importrange(""https://docs.google.com/spreadsheets/d/1arpJoJSlKHkJ-Zn4sJxqp3okt8tUTIYCnkob2xnYiCU/edit?usp=sharing"",""Jan 2026!$A:$AN""),40,0)+vlookup(A33,importrange(""https://docs.google.com/spreadsheets/d/1arpJoJSlKHkJ-Zn4sJxqp3okt8tUTIYCn"&amp;"kob2xnYiCU/edit?usp=sharing"",""Feb 2026!$A:$AN""),40,0)+vlookup(A33,importrange(""https://docs.google.com/spreadsheets/d/1arpJoJSlKHkJ-Zn4sJxqp3okt8tUTIYCnkob2xnYiCU/edit?usp=sharing"",""Mar 2026!$A:$AN""),40,0)+vlookup(A33,importrange(""https://docs.goo"&amp;"gle.com/spreadsheets/d/1arpJoJSlKHkJ-Zn4sJxqp3okt8tUTIYCnkob2xnYiCU/edit?usp=sharing"",""Apr 2026!$A:$AN""),40,0)+vlookup(A33,importrange(""https://docs.google.com/spreadsheets/d/1arpJoJSlKHkJ-Zn4sJxqp3okt8tUTIYCnkob2xnYiCU/edit?usp=sharing"",""May 2026!$"&amp;"A:$AN""),40,0)+vlookup(A33,importrange(""https://docs.google.com/spreadsheets/d/1arpJoJSlKHkJ-Zn4sJxqp3okt8tUTIYCnkob2xnYiCU/edit?usp=sharing"",""June 2026!$A:$AN""),40,0)+vlookup(A33,importrange(""https://docs.google.com/spreadsheets/d/1arpJoJSlKHkJ-Zn4s"&amp;"Jxqp3okt8tUTIYCnkob2xnYiCU/edit?usp=sharing"",""Current Month!$A:$AN""),40,0)"),0)</f>
        <v>0</v>
      </c>
      <c r="H29" s="7">
        <v>12</v>
      </c>
      <c r="I29" s="8">
        <f t="shared" ca="1" si="1"/>
        <v>20</v>
      </c>
      <c r="J29" s="7">
        <f ca="1">IFERROR(__xludf.DUMMYFUNCTION("vlookup(A33,importrange(""https://docs.google.com/spreadsheets/d/1arpJoJSlKHkJ-Zn4sJxqp3okt8tUTIYCnkob2xnYiCU/edit?usp=sharing"",""Jan 2026!$A:$AP""),41,0)+vlookup(A33,importrange(""https://docs.google.com/spreadsheets/d/1arpJoJSlKHkJ-Zn4sJxqp3okt8tUTIYCn"&amp;"kob2xnYiCU/edit?usp=sharing"",""Feb 2026!$A:$AP""),41,0)+vlookup(A33,importrange(""https://docs.google.com/spreadsheets/d/1arpJoJSlKHkJ-Zn4sJxqp3okt8tUTIYCnkob2xnYiCU/edit?usp=sharing"",""Mar 2026!$A:$AP""),41,0)+vlookup(A33,importrange(""https://docs.goo"&amp;"gle.com/spreadsheets/d/1arpJoJSlKHkJ-Zn4sJxqp3okt8tUTIYCnkob2xnYiCU/edit?usp=sharing"",""Current Month!$A:$AP""),41,0)"),4)</f>
        <v>4</v>
      </c>
      <c r="K29" s="9">
        <f ca="1">IFERROR(__xludf.DUMMYFUNCTION("J33/((vlookup(A33,importrange(""https://docs.google.com/spreadsheets/d/1arpJoJSlKHkJ-Zn4sJxqp3okt8tUTIYCnkob2xnYiCU/edit?usp=sharing"",""Jan 2026!$A:$AG""),33,0))+(vlookup(A33,importrange(""https://docs.google.com/spreadsheets/d/1arpJoJSlKHkJ-Zn4sJxqp3okt"&amp;"8tUTIYCnkob2xnYiCU/edit?usp=sharing"",""Feb 2026!$A:$AG""),33,0))+(vlookup(A33,importrange(""https://docs.google.com/spreadsheets/d/1arpJoJSlKHkJ-Zn4sJxqp3okt8tUTIYCnkob2xnYiCU/edit?usp=sharing"",""Mar 2026!$A:$AG""),33,0))+(vlookup(A33,importrange(""http"&amp;"s://docs.google.com/spreadsheets/d/1arpJoJSlKHkJ-Zn4sJxqp3okt8tUTIYCnkob2xnYiCU/edit?usp=sharing"",""Apr 2026!$A:$AG""),33,0))+(vlookup(A33,importrange(""https://docs.google.com/spreadsheets/d/1arpJoJSlKHkJ-Zn4sJxqp3okt8tUTIYCnkob2xnYiCU/edit?usp=sharing"&amp;""",""Current Month!$A:$AG""),33,0)))"),0.222222222222222)</f>
        <v>0.22222222222222199</v>
      </c>
      <c r="L29" s="7">
        <f ca="1">IFERROR(__xludf.DUMMYFUNCTION("vlookup(A33,importrange(""https://docs.google.com/spreadsheets/d/1arpJoJSlKHkJ-Zn4sJxqp3okt8tUTIYCnkob2xnYiCU/edit?usp=sharing"",""Current Month!$A:$AP""),42,0)+vlookup(A33,importrange(""https://docs.google.com/spreadsheets/d/1arpJoJSlKHkJ-Zn4sJxqp3okt8tU"&amp;"TIYCnkob2xnYiCU/edit?usp=sharing"",""Jan 2026!$A:$AP""),42,0)+vlookup(A33,importrange(""https://docs.google.com/spreadsheets/d/1arpJoJSlKHkJ-Zn4sJxqp3okt8tUTIYCnkob2xnYiCU/edit?usp=sharing"",""Feb 2026!$A:$AP""),42,0)+vlookup(A33,importrange(""https://doc"&amp;"s.google.com/spreadsheets/d/1arpJoJSlKHkJ-Zn4sJxqp3okt8tUTIYCnkob2xnYiCU/edit?usp=sharing"",""Mar 2026!$A:$AP""),42,0)+vlookup(A33,importrange(""https://docs.google.com/spreadsheets/d/1arpJoJSlKHkJ-Zn4sJxqp3okt8tUTIYCnkob2xnYiCU/edit?usp=sharing"",""Apr 2"&amp;"026!$A:$AP""),42,0)"),0)</f>
        <v>0</v>
      </c>
    </row>
    <row r="30" spans="1:12" ht="15.75" hidden="1" customHeight="1" x14ac:dyDescent="0.35">
      <c r="A30" s="6" t="s">
        <v>39</v>
      </c>
      <c r="B30" s="7">
        <f ca="1">IFERROR(__xludf.DUMMYFUNCTION("vlookup(A34,importrange(""https://docs.google.com/spreadsheets/d/1arpJoJSlKHkJ-Zn4sJxqp3okt8tUTIYCnkob2xnYiCU/edit?usp=sharing"",""Jan 2026!$A:$AH""),34,0)+vlookup(A34,importrange(""https://docs.google.com/spreadsheets/d/1arpJoJSlKHkJ-Zn4sJxqp3okt8tUTIYCn"&amp;"kob2xnYiCU/edit?usp=sharing"",""Feb 2026!$A:$AH""),34,0)+vlookup(A34,importrange(""https://docs.google.com/spreadsheets/d/1arpJoJSlKHkJ-Zn4sJxqp3okt8tUTIYCnkob2xnYiCU/edit?usp=sharing"",""Mar 2026!$A:$AH""),34,0)+vlookup(A34,importrange(""https://docs.goo"&amp;"gle.com/spreadsheets/d/1arpJoJSlKHkJ-Zn4sJxqp3okt8tUTIYCnkob2xnYiCU/edit?usp=sharing"",""Apr 2026!$A:$AH""),34,0)+vlookup(A34,importrange(""https://docs.google.com/spreadsheets/d/1arpJoJSlKHkJ-Zn4sJxqp3okt8tUTIYCnkob2xnYiCU/edit?usp=sharing"",""May 2026!$"&amp;"A:$AH""),34,0)+vlookup(A34,importrange(""https://docs.google.com/spreadsheets/d/1arpJoJSlKHkJ-Zn4sJxqp3okt8tUTIYCnkob2xnYiCU/edit?usp=sharing"",""June 2026!$A:$AH""),34,0)+vlookup(A34,importrange(""https://docs.google.com/spreadsheets/d/1arpJoJSlKHkJ-Zn4s"&amp;"Jxqp3okt8tUTIYCnkob2xnYiCU/edit?usp=sharing"",""Current Month!$A:$AH""),34,0)"),6)</f>
        <v>6</v>
      </c>
      <c r="C30" s="7">
        <f ca="1">IFERROR(__xludf.DUMMYFUNCTION("vlookup(A34,importrange(""https://docs.google.com/spreadsheets/d/1arpJoJSlKHkJ-Zn4sJxqp3okt8tUTIYCnkob2xnYiCU/edit?usp=sharing"",""Jan 2026!$A:$AI""),35,0)+vlookup(A34,importrange(""https://docs.google.com/spreadsheets/d/1arpJoJSlKHkJ-Zn4sJxqp3okt8tUTIYCn"&amp;"kob2xnYiCU/edit?usp=sharing"",""Feb 2026!$A:$AI""),35,0)+vlookup(A34,importrange(""https://docs.google.com/spreadsheets/d/1arpJoJSlKHkJ-Zn4sJxqp3okt8tUTIYCnkob2xnYiCU/edit?usp=sharing"",""Mar 2026!$A:$AI""),35,0)+vlookup(A34,importrange(""https://docs.goo"&amp;"gle.com/spreadsheets/d/1arpJoJSlKHkJ-Zn4sJxqp3okt8tUTIYCnkob2xnYiCU/edit?usp=sharing"",""Apr 2026!$A:$AI""),35,0)+vlookup(A34,importrange(""https://docs.google.com/spreadsheets/d/1arpJoJSlKHkJ-Zn4sJxqp3okt8tUTIYCnkob2xnYiCU/edit?usp=sharing"",""May 2026!$"&amp;"A:$AI""),35,0)+vlookup(A34,importrange(""https://docs.google.com/spreadsheets/d/1arpJoJSlKHkJ-Zn4sJxqp3okt8tUTIYCnkob2xnYiCU/edit?usp=sharing"",""June 2026!$A:$AI""),35,0)+vlookup(A34,importrange(""https://docs.google.com/spreadsheets/d/1arpJoJSlKHkJ-Zn4s"&amp;"Jxqp3okt8tUTIYCnkob2xnYiCU/edit?usp=sharing"",""Current Month!$A:$AI""),35,0)"),2)</f>
        <v>2</v>
      </c>
      <c r="D30" s="7">
        <f ca="1">IFERROR(__xludf.DUMMYFUNCTION("vlookup(A34,importrange(""https://docs.google.com/spreadsheets/d/1arpJoJSlKHkJ-Zn4sJxqp3okt8tUTIYCnkob2xnYiCU/edit?usp=sharing"",""Jan 2026!$A:$AJ""),36,0)+vlookup(A34,importrange(""https://docs.google.com/spreadsheets/d/1arpJoJSlKHkJ-Zn4sJxqp3okt8tUTIYCn"&amp;"kob2xnYiCU/edit?usp=sharing"",""Feb 2026!$A:$AJ""),36,0)+vlookup(A34,importrange(""https://docs.google.com/spreadsheets/d/1arpJoJSlKHkJ-Zn4sJxqp3okt8tUTIYCnkob2xnYiCU/edit?usp=sharing"",""Mar 2026!$A:$AJ""),36,0)+vlookup(A34,importrange(""https://docs.goo"&amp;"gle.com/spreadsheets/d/1arpJoJSlKHkJ-Zn4sJxqp3okt8tUTIYCnkob2xnYiCU/edit?usp=sharing"",""Apr 2026!$A:$AJ""),36,0)+vlookup(A34,importrange(""https://docs.google.com/spreadsheets/d/1arpJoJSlKHkJ-Zn4sJxqp3okt8tUTIYCnkob2xnYiCU/edit?usp=sharing"",""May 2026!$"&amp;"A:$AJ""),36,0)+vlookup(A34,importrange(""https://docs.google.com/spreadsheets/d/1arpJoJSlKHkJ-Zn4sJxqp3okt8tUTIYCnkob2xnYiCU/edit?usp=sharing"",""June 2026!$A:$AJ""),36,0)+vlookup(A34,importrange(""https://docs.google.com/spreadsheets/d/1arpJoJSlKHkJ-Zn4s"&amp;"Jxqp3okt8tUTIYCnkob2xnYiCU/edit?usp=sharing"",""Current Month!$A:$AJ""),36,0)"),0)</f>
        <v>0</v>
      </c>
      <c r="E30" s="7">
        <f ca="1">IFERROR(__xludf.DUMMYFUNCTION("vlookup(A34,importrange(""https://docs.google.com/spreadsheets/d/1arpJoJSlKHkJ-Zn4sJxqp3okt8tUTIYCnkob2xnYiCU/edit?usp=sharing"",""Jan 2026!$A:$AK""),37,0)+vlookup(A34,importrange(""https://docs.google.com/spreadsheets/d/1arpJoJSlKHkJ-Zn4sJxqp3okt8tUTIYCn"&amp;"kob2xnYiCU/edit?usp=sharing"",""Feb 2026!$A:$AK""),37,0)+vlookup(A34,importrange(""https://docs.google.com/spreadsheets/d/1arpJoJSlKHkJ-Zn4sJxqp3okt8tUTIYCnkob2xnYiCU/edit?usp=sharing"",""Mar 2026!$A:$AK""),37,0)+vlookup(A34,importrange(""https://docs.goo"&amp;"gle.com/spreadsheets/d/1arpJoJSlKHkJ-Zn4sJxqp3okt8tUTIYCnkob2xnYiCU/edit?usp=sharing"",""Apr 2026!$A:$AK""),37,0)+vlookup(A34,importrange(""https://docs.google.com/spreadsheets/d/1arpJoJSlKHkJ-Zn4sJxqp3okt8tUTIYCnkob2xnYiCU/edit?usp=sharing"",""May 2026!$"&amp;"A:$AK""),37,0)+vlookup(A34,importrange(""https://docs.google.com/spreadsheets/d/1arpJoJSlKHkJ-Zn4sJxqp3okt8tUTIYCnkob2xnYiCU/edit?usp=sharing"",""June 2026!$A:$AK""),37,0)+vlookup(A34,importrange(""https://docs.google.com/spreadsheets/d/1arpJoJSlKHkJ-Zn4s"&amp;"Jxqp3okt8tUTIYCnkob2xnYiCU/edit?usp=sharing"",""Current Month!$A:$AK""),37,0)"),0)</f>
        <v>0</v>
      </c>
      <c r="F30" s="7">
        <f t="shared" ca="1" si="0"/>
        <v>4</v>
      </c>
      <c r="G30" s="7">
        <f ca="1">IFERROR(__xludf.DUMMYFUNCTION("vlookup(A34,importrange(""https://docs.google.com/spreadsheets/d/1arpJoJSlKHkJ-Zn4sJxqp3okt8tUTIYCnkob2xnYiCU/edit?usp=sharing"",""Jan 2026!$A:$AN""),40,0)+vlookup(A34,importrange(""https://docs.google.com/spreadsheets/d/1arpJoJSlKHkJ-Zn4sJxqp3okt8tUTIYCn"&amp;"kob2xnYiCU/edit?usp=sharing"",""Feb 2026!$A:$AN""),40,0)+vlookup(A34,importrange(""https://docs.google.com/spreadsheets/d/1arpJoJSlKHkJ-Zn4sJxqp3okt8tUTIYCnkob2xnYiCU/edit?usp=sharing"",""Mar 2026!$A:$AN""),40,0)+vlookup(A34,importrange(""https://docs.goo"&amp;"gle.com/spreadsheets/d/1arpJoJSlKHkJ-Zn4sJxqp3okt8tUTIYCnkob2xnYiCU/edit?usp=sharing"",""Apr 2026!$A:$AN""),40,0)+vlookup(A34,importrange(""https://docs.google.com/spreadsheets/d/1arpJoJSlKHkJ-Zn4sJxqp3okt8tUTIYCnkob2xnYiCU/edit?usp=sharing"",""May 2026!$"&amp;"A:$AN""),40,0)+vlookup(A34,importrange(""https://docs.google.com/spreadsheets/d/1arpJoJSlKHkJ-Zn4sJxqp3okt8tUTIYCnkob2xnYiCU/edit?usp=sharing"",""June 2026!$A:$AN""),40,0)+vlookup(A34,importrange(""https://docs.google.com/spreadsheets/d/1arpJoJSlKHkJ-Zn4s"&amp;"Jxqp3okt8tUTIYCnkob2xnYiCU/edit?usp=sharing"",""Current Month!$A:$AN""),40,0)"),0)</f>
        <v>0</v>
      </c>
      <c r="H30" s="7">
        <v>12</v>
      </c>
      <c r="I30" s="8">
        <f t="shared" ca="1" si="1"/>
        <v>13</v>
      </c>
      <c r="J30" s="7">
        <f ca="1">IFERROR(__xludf.DUMMYFUNCTION("vlookup(A34,importrange(""https://docs.google.com/spreadsheets/d/1arpJoJSlKHkJ-Zn4sJxqp3okt8tUTIYCnkob2xnYiCU/edit?usp=sharing"",""Jan 2026!$A:$AP""),41,0)+vlookup(A34,importrange(""https://docs.google.com/spreadsheets/d/1arpJoJSlKHkJ-Zn4sJxqp3okt8tUTIYCn"&amp;"kob2xnYiCU/edit?usp=sharing"",""Feb 2026!$A:$AP""),41,0)+vlookup(A34,importrange(""https://docs.google.com/spreadsheets/d/1arpJoJSlKHkJ-Zn4sJxqp3okt8tUTIYCnkob2xnYiCU/edit?usp=sharing"",""Mar 2026!$A:$AP""),41,0)+vlookup(A34,importrange(""https://docs.goo"&amp;"gle.com/spreadsheets/d/1arpJoJSlKHkJ-Zn4sJxqp3okt8tUTIYCnkob2xnYiCU/edit?usp=sharing"",""Current Month!$A:$AP""),41,0)"),9)</f>
        <v>9</v>
      </c>
      <c r="K30" s="9">
        <f ca="1">IFERROR(__xludf.DUMMYFUNCTION("J34/((vlookup(A34,importrange(""https://docs.google.com/spreadsheets/d/1arpJoJSlKHkJ-Zn4sJxqp3okt8tUTIYCnkob2xnYiCU/edit?usp=sharing"",""Jan 2026!$A:$AG""),33,0))+(vlookup(A34,importrange(""https://docs.google.com/spreadsheets/d/1arpJoJSlKHkJ-Zn4sJxqp3okt"&amp;"8tUTIYCnkob2xnYiCU/edit?usp=sharing"",""Feb 2026!$A:$AG""),33,0))+(vlookup(A34,importrange(""https://docs.google.com/spreadsheets/d/1arpJoJSlKHkJ-Zn4sJxqp3okt8tUTIYCnkob2xnYiCU/edit?usp=sharing"",""Mar 2026!$A:$AG""),33,0))+(vlookup(A34,importrange(""http"&amp;"s://docs.google.com/spreadsheets/d/1arpJoJSlKHkJ-Zn4sJxqp3okt8tUTIYCnkob2xnYiCU/edit?usp=sharing"",""Apr 2026!$A:$AG""),33,0))+(vlookup(A34,importrange(""https://docs.google.com/spreadsheets/d/1arpJoJSlKHkJ-Zn4sJxqp3okt8tUTIYCnkob2xnYiCU/edit?usp=sharing"&amp;""",""Current Month!$A:$AG""),33,0)))"),0.166666666666666)</f>
        <v>0.16666666666666599</v>
      </c>
      <c r="L30" s="7">
        <f ca="1">IFERROR(__xludf.DUMMYFUNCTION("vlookup(A34,importrange(""https://docs.google.com/spreadsheets/d/1arpJoJSlKHkJ-Zn4sJxqp3okt8tUTIYCnkob2xnYiCU/edit?usp=sharing"",""Current Month!$A:$AP""),42,0)+vlookup(A34,importrange(""https://docs.google.com/spreadsheets/d/1arpJoJSlKHkJ-Zn4sJxqp3okt8tU"&amp;"TIYCnkob2xnYiCU/edit?usp=sharing"",""Jan 2026!$A:$AP""),42,0)+vlookup(A34,importrange(""https://docs.google.com/spreadsheets/d/1arpJoJSlKHkJ-Zn4sJxqp3okt8tUTIYCnkob2xnYiCU/edit?usp=sharing"",""Feb 2026!$A:$AP""),42,0)+vlookup(A34,importrange(""https://doc"&amp;"s.google.com/spreadsheets/d/1arpJoJSlKHkJ-Zn4sJxqp3okt8tUTIYCnkob2xnYiCU/edit?usp=sharing"",""Mar 2026!$A:$AP""),42,0)+vlookup(A34,importrange(""https://docs.google.com/spreadsheets/d/1arpJoJSlKHkJ-Zn4sJxqp3okt8tUTIYCnkob2xnYiCU/edit?usp=sharing"",""Apr 2"&amp;"026!$A:$AP""),42,0)"),0)</f>
        <v>0</v>
      </c>
    </row>
    <row r="31" spans="1:12" ht="15.75" customHeight="1" x14ac:dyDescent="0.35">
      <c r="A31" s="10" t="s">
        <v>40</v>
      </c>
      <c r="B31" s="7">
        <f ca="1">IFERROR(__xludf.DUMMYFUNCTION("vlookup(A35,importrange(""https://docs.google.com/spreadsheets/d/1arpJoJSlKHkJ-Zn4sJxqp3okt8tUTIYCnkob2xnYiCU/edit?usp=sharing"",""Jan 2026!$A:$AH""),34,0)+vlookup(A35,importrange(""https://docs.google.com/spreadsheets/d/1arpJoJSlKHkJ-Zn4sJxqp3okt8tUTIYCn"&amp;"kob2xnYiCU/edit?usp=sharing"",""Feb 2026!$A:$AH""),34,0)+vlookup(A35,importrange(""https://docs.google.com/spreadsheets/d/1arpJoJSlKHkJ-Zn4sJxqp3okt8tUTIYCnkob2xnYiCU/edit?usp=sharing"",""Mar 2026!$A:$AH""),34,0)+vlookup(A35,importrange(""https://docs.goo"&amp;"gle.com/spreadsheets/d/1arpJoJSlKHkJ-Zn4sJxqp3okt8tUTIYCnkob2xnYiCU/edit?usp=sharing"",""Apr 2026!$A:$AH""),34,0)+vlookup(A35,importrange(""https://docs.google.com/spreadsheets/d/1arpJoJSlKHkJ-Zn4sJxqp3okt8tUTIYCnkob2xnYiCU/edit?usp=sharing"",""May 2026!$"&amp;"A:$AH""),34,0)+vlookup(A35,importrange(""https://docs.google.com/spreadsheets/d/1arpJoJSlKHkJ-Zn4sJxqp3okt8tUTIYCnkob2xnYiCU/edit?usp=sharing"",""June 2026!$A:$AH""),34,0)+vlookup(A35,importrange(""https://docs.google.com/spreadsheets/d/1arpJoJSlKHkJ-Zn4s"&amp;"Jxqp3okt8tUTIYCnkob2xnYiCU/edit?usp=sharing"",""Current Month!$A:$AH""),34,0)"),6)</f>
        <v>6</v>
      </c>
      <c r="C31" s="7">
        <f ca="1">IFERROR(__xludf.DUMMYFUNCTION("vlookup(A35,importrange(""https://docs.google.com/spreadsheets/d/1arpJoJSlKHkJ-Zn4sJxqp3okt8tUTIYCnkob2xnYiCU/edit?usp=sharing"",""Jan 2026!$A:$AI""),35,0)+vlookup(A35,importrange(""https://docs.google.com/spreadsheets/d/1arpJoJSlKHkJ-Zn4sJxqp3okt8tUTIYCn"&amp;"kob2xnYiCU/edit?usp=sharing"",""Feb 2026!$A:$AI""),35,0)+vlookup(A35,importrange(""https://docs.google.com/spreadsheets/d/1arpJoJSlKHkJ-Zn4sJxqp3okt8tUTIYCnkob2xnYiCU/edit?usp=sharing"",""Mar 2026!$A:$AI""),35,0)+vlookup(A35,importrange(""https://docs.goo"&amp;"gle.com/spreadsheets/d/1arpJoJSlKHkJ-Zn4sJxqp3okt8tUTIYCnkob2xnYiCU/edit?usp=sharing"",""Apr 2026!$A:$AI""),35,0)+vlookup(A35,importrange(""https://docs.google.com/spreadsheets/d/1arpJoJSlKHkJ-Zn4sJxqp3okt8tUTIYCnkob2xnYiCU/edit?usp=sharing"",""May 2026!$"&amp;"A:$AI""),35,0)+vlookup(A35,importrange(""https://docs.google.com/spreadsheets/d/1arpJoJSlKHkJ-Zn4sJxqp3okt8tUTIYCnkob2xnYiCU/edit?usp=sharing"",""June 2026!$A:$AI""),35,0)+vlookup(A35,importrange(""https://docs.google.com/spreadsheets/d/1arpJoJSlKHkJ-Zn4s"&amp;"Jxqp3okt8tUTIYCnkob2xnYiCU/edit?usp=sharing"",""Current Month!$A:$AI""),35,0)"),13.5)</f>
        <v>13.5</v>
      </c>
      <c r="D31" s="7">
        <f ca="1">IFERROR(__xludf.DUMMYFUNCTION("vlookup(A35,importrange(""https://docs.google.com/spreadsheets/d/1arpJoJSlKHkJ-Zn4sJxqp3okt8tUTIYCnkob2xnYiCU/edit?usp=sharing"",""Jan 2026!$A:$AJ""),36,0)+vlookup(A35,importrange(""https://docs.google.com/spreadsheets/d/1arpJoJSlKHkJ-Zn4sJxqp3okt8tUTIYCn"&amp;"kob2xnYiCU/edit?usp=sharing"",""Feb 2026!$A:$AJ""),36,0)+vlookup(A35,importrange(""https://docs.google.com/spreadsheets/d/1arpJoJSlKHkJ-Zn4sJxqp3okt8tUTIYCnkob2xnYiCU/edit?usp=sharing"",""Mar 2026!$A:$AJ""),36,0)+vlookup(A35,importrange(""https://docs.goo"&amp;"gle.com/spreadsheets/d/1arpJoJSlKHkJ-Zn4sJxqp3okt8tUTIYCnkob2xnYiCU/edit?usp=sharing"",""Apr 2026!$A:$AJ""),36,0)+vlookup(A35,importrange(""https://docs.google.com/spreadsheets/d/1arpJoJSlKHkJ-Zn4sJxqp3okt8tUTIYCnkob2xnYiCU/edit?usp=sharing"",""May 2026!$"&amp;"A:$AJ""),36,0)+vlookup(A35,importrange(""https://docs.google.com/spreadsheets/d/1arpJoJSlKHkJ-Zn4sJxqp3okt8tUTIYCnkob2xnYiCU/edit?usp=sharing"",""June 2026!$A:$AJ""),36,0)+vlookup(A35,importrange(""https://docs.google.com/spreadsheets/d/1arpJoJSlKHkJ-Zn4s"&amp;"Jxqp3okt8tUTIYCnkob2xnYiCU/edit?usp=sharing"",""Current Month!$A:$AJ""),36,0)"),0)</f>
        <v>0</v>
      </c>
      <c r="E31" s="7">
        <f ca="1">IFERROR(__xludf.DUMMYFUNCTION("vlookup(A35,importrange(""https://docs.google.com/spreadsheets/d/1arpJoJSlKHkJ-Zn4sJxqp3okt8tUTIYCnkob2xnYiCU/edit?usp=sharing"",""Jan 2026!$A:$AK""),37,0)+vlookup(A35,importrange(""https://docs.google.com/spreadsheets/d/1arpJoJSlKHkJ-Zn4sJxqp3okt8tUTIYCn"&amp;"kob2xnYiCU/edit?usp=sharing"",""Feb 2026!$A:$AK""),37,0)+vlookup(A35,importrange(""https://docs.google.com/spreadsheets/d/1arpJoJSlKHkJ-Zn4sJxqp3okt8tUTIYCnkob2xnYiCU/edit?usp=sharing"",""Mar 2026!$A:$AK""),37,0)+vlookup(A35,importrange(""https://docs.goo"&amp;"gle.com/spreadsheets/d/1arpJoJSlKHkJ-Zn4sJxqp3okt8tUTIYCnkob2xnYiCU/edit?usp=sharing"",""Apr 2026!$A:$AK""),37,0)+vlookup(A35,importrange(""https://docs.google.com/spreadsheets/d/1arpJoJSlKHkJ-Zn4sJxqp3okt8tUTIYCnkob2xnYiCU/edit?usp=sharing"",""May 2026!$"&amp;"A:$AK""),37,0)+vlookup(A35,importrange(""https://docs.google.com/spreadsheets/d/1arpJoJSlKHkJ-Zn4sJxqp3okt8tUTIYCnkob2xnYiCU/edit?usp=sharing"",""June 2026!$A:$AK""),37,0)+vlookup(A35,importrange(""https://docs.google.com/spreadsheets/d/1arpJoJSlKHkJ-Zn4s"&amp;"Jxqp3okt8tUTIYCnkob2xnYiCU/edit?usp=sharing"",""Current Month!$A:$AK""),37,0)"),0)</f>
        <v>0</v>
      </c>
      <c r="F31" s="7">
        <f t="shared" ca="1" si="0"/>
        <v>0</v>
      </c>
      <c r="G31" s="7">
        <f ca="1">IFERROR(__xludf.DUMMYFUNCTION("vlookup(A35,importrange(""https://docs.google.com/spreadsheets/d/1arpJoJSlKHkJ-Zn4sJxqp3okt8tUTIYCnkob2xnYiCU/edit?usp=sharing"",""Jan 2026!$A:$AN""),40,0)+vlookup(A35,importrange(""https://docs.google.com/spreadsheets/d/1arpJoJSlKHkJ-Zn4sJxqp3okt8tUTIYCn"&amp;"kob2xnYiCU/edit?usp=sharing"",""Feb 2026!$A:$AN""),40,0)+vlookup(A35,importrange(""https://docs.google.com/spreadsheets/d/1arpJoJSlKHkJ-Zn4sJxqp3okt8tUTIYCnkob2xnYiCU/edit?usp=sharing"",""Mar 2026!$A:$AN""),40,0)+vlookup(A35,importrange(""https://docs.goo"&amp;"gle.com/spreadsheets/d/1arpJoJSlKHkJ-Zn4sJxqp3okt8tUTIYCnkob2xnYiCU/edit?usp=sharing"",""Apr 2026!$A:$AN""),40,0)+vlookup(A35,importrange(""https://docs.google.com/spreadsheets/d/1arpJoJSlKHkJ-Zn4sJxqp3okt8tUTIYCnkob2xnYiCU/edit?usp=sharing"",""May 2026!$"&amp;"A:$AN""),40,0)+vlookup(A35,importrange(""https://docs.google.com/spreadsheets/d/1arpJoJSlKHkJ-Zn4sJxqp3okt8tUTIYCnkob2xnYiCU/edit?usp=sharing"",""June 2026!$A:$AN""),40,0)+vlookup(A35,importrange(""https://docs.google.com/spreadsheets/d/1arpJoJSlKHkJ-Zn4s"&amp;"Jxqp3okt8tUTIYCnkob2xnYiCU/edit?usp=sharing"",""Current Month!$A:$AN""),40,0)"),4)</f>
        <v>4</v>
      </c>
      <c r="H31" s="7">
        <v>12</v>
      </c>
      <c r="I31" s="8">
        <f t="shared" ca="1" si="1"/>
        <v>1.5</v>
      </c>
      <c r="J31" s="7">
        <f ca="1">IFERROR(__xludf.DUMMYFUNCTION("vlookup(A35,importrange(""https://docs.google.com/spreadsheets/d/1arpJoJSlKHkJ-Zn4sJxqp3okt8tUTIYCnkob2xnYiCU/edit?usp=sharing"",""Jan 2026!$A:$AP""),41,0)+vlookup(A35,importrange(""https://docs.google.com/spreadsheets/d/1arpJoJSlKHkJ-Zn4sJxqp3okt8tUTIYCn"&amp;"kob2xnYiCU/edit?usp=sharing"",""Feb 2026!$A:$AP""),41,0)+vlookup(A35,importrange(""https://docs.google.com/spreadsheets/d/1arpJoJSlKHkJ-Zn4sJxqp3okt8tUTIYCnkob2xnYiCU/edit?usp=sharing"",""Mar 2026!$A:$AP""),41,0)+vlookup(A35,importrange(""https://docs.goo"&amp;"gle.com/spreadsheets/d/1arpJoJSlKHkJ-Zn4sJxqp3okt8tUTIYCnkob2xnYiCU/edit?usp=sharing"",""Current Month!$A:$AP""),41,0)"),15)</f>
        <v>15</v>
      </c>
      <c r="K31" s="9">
        <f ca="1">IFERROR(__xludf.DUMMYFUNCTION("J35/((vlookup(A35,importrange(""https://docs.google.com/spreadsheets/d/1arpJoJSlKHkJ-Zn4sJxqp3okt8tUTIYCnkob2xnYiCU/edit?usp=sharing"",""Jan 2026!$A:$AG""),33,0))+(vlookup(A35,importrange(""https://docs.google.com/spreadsheets/d/1arpJoJSlKHkJ-Zn4sJxqp3okt"&amp;"8tUTIYCnkob2xnYiCU/edit?usp=sharing"",""Feb 2026!$A:$AG""),33,0))+(vlookup(A35,importrange(""https://docs.google.com/spreadsheets/d/1arpJoJSlKHkJ-Zn4sJxqp3okt8tUTIYCnkob2xnYiCU/edit?usp=sharing"",""Mar 2026!$A:$AG""),33,0))+(vlookup(A35,importrange(""http"&amp;"s://docs.google.com/spreadsheets/d/1arpJoJSlKHkJ-Zn4sJxqp3okt8tUTIYCnkob2xnYiCU/edit?usp=sharing"",""Apr 2026!$A:$AG""),33,0))+(vlookup(A35,importrange(""https://docs.google.com/spreadsheets/d/1arpJoJSlKHkJ-Zn4sJxqp3okt8tUTIYCnkob2xnYiCU/edit?usp=sharing"&amp;""",""Current Month!$A:$AG""),33,0)))"),0.186335403726708)</f>
        <v>0.18633540372670801</v>
      </c>
      <c r="L31" s="7">
        <f ca="1">IFERROR(__xludf.DUMMYFUNCTION("vlookup(A35,importrange(""https://docs.google.com/spreadsheets/d/1arpJoJSlKHkJ-Zn4sJxqp3okt8tUTIYCnkob2xnYiCU/edit?usp=sharing"",""Current Month!$A:$AP""),42,0)+vlookup(A35,importrange(""https://docs.google.com/spreadsheets/d/1arpJoJSlKHkJ-Zn4sJxqp3okt8tU"&amp;"TIYCnkob2xnYiCU/edit?usp=sharing"",""Jan 2026!$A:$AP""),42,0)+vlookup(A35,importrange(""https://docs.google.com/spreadsheets/d/1arpJoJSlKHkJ-Zn4sJxqp3okt8tUTIYCnkob2xnYiCU/edit?usp=sharing"",""Feb 2026!$A:$AP""),42,0)+vlookup(A35,importrange(""https://doc"&amp;"s.google.com/spreadsheets/d/1arpJoJSlKHkJ-Zn4sJxqp3okt8tUTIYCnkob2xnYiCU/edit?usp=sharing"",""Mar 2026!$A:$AP""),42,0)+vlookup(A35,importrange(""https://docs.google.com/spreadsheets/d/1arpJoJSlKHkJ-Zn4sJxqp3okt8tUTIYCnkob2xnYiCU/edit?usp=sharing"",""Apr 2"&amp;"026!$A:$AP""),42,0)"),15)</f>
        <v>15</v>
      </c>
    </row>
    <row r="32" spans="1:12" ht="15.75" customHeight="1" x14ac:dyDescent="0.35">
      <c r="A32" s="10" t="s">
        <v>41</v>
      </c>
      <c r="B32" s="7">
        <f ca="1">IFERROR(__xludf.DUMMYFUNCTION("vlookup(A36,importrange(""https://docs.google.com/spreadsheets/d/1arpJoJSlKHkJ-Zn4sJxqp3okt8tUTIYCnkob2xnYiCU/edit?usp=sharing"",""Jan 2026!$A:$AH""),34,0)+vlookup(A36,importrange(""https://docs.google.com/spreadsheets/d/1arpJoJSlKHkJ-Zn4sJxqp3okt8tUTIYCn"&amp;"kob2xnYiCU/edit?usp=sharing"",""Feb 2026!$A:$AH""),34,0)+vlookup(A36,importrange(""https://docs.google.com/spreadsheets/d/1arpJoJSlKHkJ-Zn4sJxqp3okt8tUTIYCnkob2xnYiCU/edit?usp=sharing"",""Mar 2026!$A:$AH""),34,0)+vlookup(A36,importrange(""https://docs.goo"&amp;"gle.com/spreadsheets/d/1arpJoJSlKHkJ-Zn4sJxqp3okt8tUTIYCnkob2xnYiCU/edit?usp=sharing"",""Apr 2026!$A:$AH""),34,0)+vlookup(A36,importrange(""https://docs.google.com/spreadsheets/d/1arpJoJSlKHkJ-Zn4sJxqp3okt8tUTIYCnkob2xnYiCU/edit?usp=sharing"",""May 2026!$"&amp;"A:$AH""),34,0)+vlookup(A36,importrange(""https://docs.google.com/spreadsheets/d/1arpJoJSlKHkJ-Zn4sJxqp3okt8tUTIYCnkob2xnYiCU/edit?usp=sharing"",""June 2026!$A:$AH""),34,0)+vlookup(A36,importrange(""https://docs.google.com/spreadsheets/d/1arpJoJSlKHkJ-Zn4s"&amp;"Jxqp3okt8tUTIYCnkob2xnYiCU/edit?usp=sharing"",""Current Month!$A:$AH""),34,0)"),16)</f>
        <v>16</v>
      </c>
      <c r="C32" s="7">
        <f ca="1">IFERROR(__xludf.DUMMYFUNCTION("vlookup(A36,importrange(""https://docs.google.com/spreadsheets/d/1arpJoJSlKHkJ-Zn4sJxqp3okt8tUTIYCnkob2xnYiCU/edit?usp=sharing"",""Jan 2026!$A:$AI""),35,0)+vlookup(A36,importrange(""https://docs.google.com/spreadsheets/d/1arpJoJSlKHkJ-Zn4sJxqp3okt8tUTIYCn"&amp;"kob2xnYiCU/edit?usp=sharing"",""Feb 2026!$A:$AI""),35,0)+vlookup(A36,importrange(""https://docs.google.com/spreadsheets/d/1arpJoJSlKHkJ-Zn4sJxqp3okt8tUTIYCnkob2xnYiCU/edit?usp=sharing"",""Mar 2026!$A:$AI""),35,0)+vlookup(A36,importrange(""https://docs.goo"&amp;"gle.com/spreadsheets/d/1arpJoJSlKHkJ-Zn4sJxqp3okt8tUTIYCnkob2xnYiCU/edit?usp=sharing"",""Apr 2026!$A:$AI""),35,0)+vlookup(A36,importrange(""https://docs.google.com/spreadsheets/d/1arpJoJSlKHkJ-Zn4sJxqp3okt8tUTIYCnkob2xnYiCU/edit?usp=sharing"",""May 2026!$"&amp;"A:$AI""),35,0)+vlookup(A36,importrange(""https://docs.google.com/spreadsheets/d/1arpJoJSlKHkJ-Zn4sJxqp3okt8tUTIYCnkob2xnYiCU/edit?usp=sharing"",""June 2026!$A:$AI""),35,0)+vlookup(A36,importrange(""https://docs.google.com/spreadsheets/d/1arpJoJSlKHkJ-Zn4s"&amp;"Jxqp3okt8tUTIYCnkob2xnYiCU/edit?usp=sharing"",""Current Month!$A:$AI""),35,0)"),1)</f>
        <v>1</v>
      </c>
      <c r="D32" s="7">
        <f ca="1">IFERROR(__xludf.DUMMYFUNCTION("vlookup(A36,importrange(""https://docs.google.com/spreadsheets/d/1arpJoJSlKHkJ-Zn4sJxqp3okt8tUTIYCnkob2xnYiCU/edit?usp=sharing"",""Jan 2026!$A:$AJ""),36,0)+vlookup(A36,importrange(""https://docs.google.com/spreadsheets/d/1arpJoJSlKHkJ-Zn4sJxqp3okt8tUTIYCn"&amp;"kob2xnYiCU/edit?usp=sharing"",""Feb 2026!$A:$AJ""),36,0)+vlookup(A36,importrange(""https://docs.google.com/spreadsheets/d/1arpJoJSlKHkJ-Zn4sJxqp3okt8tUTIYCnkob2xnYiCU/edit?usp=sharing"",""Mar 2026!$A:$AJ""),36,0)+vlookup(A36,importrange(""https://docs.goo"&amp;"gle.com/spreadsheets/d/1arpJoJSlKHkJ-Zn4sJxqp3okt8tUTIYCnkob2xnYiCU/edit?usp=sharing"",""Apr 2026!$A:$AJ""),36,0)+vlookup(A36,importrange(""https://docs.google.com/spreadsheets/d/1arpJoJSlKHkJ-Zn4sJxqp3okt8tUTIYCnkob2xnYiCU/edit?usp=sharing"",""May 2026!$"&amp;"A:$AJ""),36,0)+vlookup(A36,importrange(""https://docs.google.com/spreadsheets/d/1arpJoJSlKHkJ-Zn4sJxqp3okt8tUTIYCnkob2xnYiCU/edit?usp=sharing"",""June 2026!$A:$AJ""),36,0)+vlookup(A36,importrange(""https://docs.google.com/spreadsheets/d/1arpJoJSlKHkJ-Zn4s"&amp;"Jxqp3okt8tUTIYCnkob2xnYiCU/edit?usp=sharing"",""Current Month!$A:$AJ""),36,0)"),0)</f>
        <v>0</v>
      </c>
      <c r="E32" s="7">
        <f ca="1">IFERROR(__xludf.DUMMYFUNCTION("vlookup(A36,importrange(""https://docs.google.com/spreadsheets/d/1arpJoJSlKHkJ-Zn4sJxqp3okt8tUTIYCnkob2xnYiCU/edit?usp=sharing"",""Jan 2026!$A:$AK""),37,0)+vlookup(A36,importrange(""https://docs.google.com/spreadsheets/d/1arpJoJSlKHkJ-Zn4sJxqp3okt8tUTIYCn"&amp;"kob2xnYiCU/edit?usp=sharing"",""Feb 2026!$A:$AK""),37,0)+vlookup(A36,importrange(""https://docs.google.com/spreadsheets/d/1arpJoJSlKHkJ-Zn4sJxqp3okt8tUTIYCnkob2xnYiCU/edit?usp=sharing"",""Mar 2026!$A:$AK""),37,0)+vlookup(A36,importrange(""https://docs.goo"&amp;"gle.com/spreadsheets/d/1arpJoJSlKHkJ-Zn4sJxqp3okt8tUTIYCnkob2xnYiCU/edit?usp=sharing"",""Apr 2026!$A:$AK""),37,0)+vlookup(A36,importrange(""https://docs.google.com/spreadsheets/d/1arpJoJSlKHkJ-Zn4sJxqp3okt8tUTIYCnkob2xnYiCU/edit?usp=sharing"",""May 2026!$"&amp;"A:$AK""),37,0)+vlookup(A36,importrange(""https://docs.google.com/spreadsheets/d/1arpJoJSlKHkJ-Zn4sJxqp3okt8tUTIYCnkob2xnYiCU/edit?usp=sharing"",""June 2026!$A:$AK""),37,0)+vlookup(A36,importrange(""https://docs.google.com/spreadsheets/d/1arpJoJSlKHkJ-Zn4s"&amp;"Jxqp3okt8tUTIYCnkob2xnYiCU/edit?usp=sharing"",""Current Month!$A:$AK""),37,0)"),0)</f>
        <v>0</v>
      </c>
      <c r="F32" s="7">
        <f t="shared" ca="1" si="0"/>
        <v>3</v>
      </c>
      <c r="G32" s="7">
        <f ca="1">IFERROR(__xludf.DUMMYFUNCTION("vlookup(A36,importrange(""https://docs.google.com/spreadsheets/d/1arpJoJSlKHkJ-Zn4sJxqp3okt8tUTIYCnkob2xnYiCU/edit?usp=sharing"",""Jan 2026!$A:$AN""),40,0)+vlookup(A36,importrange(""https://docs.google.com/spreadsheets/d/1arpJoJSlKHkJ-Zn4sJxqp3okt8tUTIYCn"&amp;"kob2xnYiCU/edit?usp=sharing"",""Feb 2026!$A:$AN""),40,0)+vlookup(A36,importrange(""https://docs.google.com/spreadsheets/d/1arpJoJSlKHkJ-Zn4sJxqp3okt8tUTIYCnkob2xnYiCU/edit?usp=sharing"",""Mar 2026!$A:$AN""),40,0)+vlookup(A36,importrange(""https://docs.goo"&amp;"gle.com/spreadsheets/d/1arpJoJSlKHkJ-Zn4sJxqp3okt8tUTIYCnkob2xnYiCU/edit?usp=sharing"",""Apr 2026!$A:$AN""),40,0)+vlookup(A36,importrange(""https://docs.google.com/spreadsheets/d/1arpJoJSlKHkJ-Zn4sJxqp3okt8tUTIYCnkob2xnYiCU/edit?usp=sharing"",""May 2026!$"&amp;"A:$AN""),40,0)+vlookup(A36,importrange(""https://docs.google.com/spreadsheets/d/1arpJoJSlKHkJ-Zn4sJxqp3okt8tUTIYCnkob2xnYiCU/edit?usp=sharing"",""June 2026!$A:$AN""),40,0)+vlookup(A36,importrange(""https://docs.google.com/spreadsheets/d/1arpJoJSlKHkJ-Zn4s"&amp;"Jxqp3okt8tUTIYCnkob2xnYiCU/edit?usp=sharing"",""Current Month!$A:$AN""),40,0)"),1)</f>
        <v>1</v>
      </c>
      <c r="H32" s="7">
        <v>12</v>
      </c>
      <c r="I32" s="8">
        <f t="shared" ca="1" si="1"/>
        <v>4</v>
      </c>
      <c r="J32" s="7">
        <f ca="1">IFERROR(__xludf.DUMMYFUNCTION("vlookup(A36,importrange(""https://docs.google.com/spreadsheets/d/1arpJoJSlKHkJ-Zn4sJxqp3okt8tUTIYCnkob2xnYiCU/edit?usp=sharing"",""Jan 2026!$A:$AP""),41,0)+vlookup(A36,importrange(""https://docs.google.com/spreadsheets/d/1arpJoJSlKHkJ-Zn4sJxqp3okt8tUTIYCn"&amp;"kob2xnYiCU/edit?usp=sharing"",""Feb 2026!$A:$AP""),41,0)+vlookup(A36,importrange(""https://docs.google.com/spreadsheets/d/1arpJoJSlKHkJ-Zn4sJxqp3okt8tUTIYCnkob2xnYiCU/edit?usp=sharing"",""Mar 2026!$A:$AP""),41,0)+vlookup(A36,importrange(""https://docs.goo"&amp;"gle.com/spreadsheets/d/1arpJoJSlKHkJ-Zn4sJxqp3okt8tUTIYCnkob2xnYiCU/edit?usp=sharing"",""Current Month!$A:$AP""),41,0)"),26)</f>
        <v>26</v>
      </c>
      <c r="K32" s="9">
        <f ca="1">IFERROR(__xludf.DUMMYFUNCTION("J36/((vlookup(A36,importrange(""https://docs.google.com/spreadsheets/d/1arpJoJSlKHkJ-Zn4sJxqp3okt8tUTIYCnkob2xnYiCU/edit?usp=sharing"",""Jan 2026!$A:$AG""),33,0))+(vlookup(A36,importrange(""https://docs.google.com/spreadsheets/d/1arpJoJSlKHkJ-Zn4sJxqp3okt"&amp;"8tUTIYCnkob2xnYiCU/edit?usp=sharing"",""Feb 2026!$A:$AG""),33,0))+(vlookup(A36,importrange(""https://docs.google.com/spreadsheets/d/1arpJoJSlKHkJ-Zn4sJxqp3okt8tUTIYCnkob2xnYiCU/edit?usp=sharing"",""Mar 2026!$A:$AG""),33,0))+(vlookup(A36,importrange(""http"&amp;"s://docs.google.com/spreadsheets/d/1arpJoJSlKHkJ-Zn4sJxqp3okt8tUTIYCnkob2xnYiCU/edit?usp=sharing"",""Apr 2026!$A:$AG""),33,0))+(vlookup(A36,importrange(""https://docs.google.com/spreadsheets/d/1arpJoJSlKHkJ-Zn4sJxqp3okt8tUTIYCnkob2xnYiCU/edit?usp=sharing"&amp;""",""Current Month!$A:$AG""),33,0)))"),0.305882352941176)</f>
        <v>0.30588235294117599</v>
      </c>
      <c r="L32" s="7">
        <f ca="1">IFERROR(__xludf.DUMMYFUNCTION("vlookup(A36,importrange(""https://docs.google.com/spreadsheets/d/1arpJoJSlKHkJ-Zn4sJxqp3okt8tUTIYCnkob2xnYiCU/edit?usp=sharing"",""Current Month!$A:$AP""),42,0)+vlookup(A36,importrange(""https://docs.google.com/spreadsheets/d/1arpJoJSlKHkJ-Zn4sJxqp3okt8tU"&amp;"TIYCnkob2xnYiCU/edit?usp=sharing"",""Jan 2026!$A:$AP""),42,0)+vlookup(A36,importrange(""https://docs.google.com/spreadsheets/d/1arpJoJSlKHkJ-Zn4sJxqp3okt8tUTIYCnkob2xnYiCU/edit?usp=sharing"",""Feb 2026!$A:$AP""),42,0)+vlookup(A36,importrange(""https://doc"&amp;"s.google.com/spreadsheets/d/1arpJoJSlKHkJ-Zn4sJxqp3okt8tUTIYCnkob2xnYiCU/edit?usp=sharing"",""Mar 2026!$A:$AP""),42,0)+vlookup(A36,importrange(""https://docs.google.com/spreadsheets/d/1arpJoJSlKHkJ-Zn4sJxqp3okt8tUTIYCnkob2xnYiCU/edit?usp=sharing"",""Apr 2"&amp;"026!$A:$AP""),42,0)"),2)</f>
        <v>2</v>
      </c>
    </row>
    <row r="33" spans="1:12" ht="15.75" customHeight="1" x14ac:dyDescent="0.35">
      <c r="A33" s="6" t="s">
        <v>42</v>
      </c>
      <c r="B33" s="7">
        <f ca="1">IFERROR(__xludf.DUMMYFUNCTION("vlookup(A37,importrange(""https://docs.google.com/spreadsheets/d/1arpJoJSlKHkJ-Zn4sJxqp3okt8tUTIYCnkob2xnYiCU/edit?usp=sharing"",""Jan 2026!$A:$AH""),34,0)+vlookup(A37,importrange(""https://docs.google.com/spreadsheets/d/1arpJoJSlKHkJ-Zn4sJxqp3okt8tUTIYCn"&amp;"kob2xnYiCU/edit?usp=sharing"",""Feb 2026!$A:$AH""),34,0)+vlookup(A37,importrange(""https://docs.google.com/spreadsheets/d/1arpJoJSlKHkJ-Zn4sJxqp3okt8tUTIYCnkob2xnYiCU/edit?usp=sharing"",""Mar 2026!$A:$AH""),34,0)+vlookup(A37,importrange(""https://docs.goo"&amp;"gle.com/spreadsheets/d/1arpJoJSlKHkJ-Zn4sJxqp3okt8tUTIYCnkob2xnYiCU/edit?usp=sharing"",""Apr 2026!$A:$AH""),34,0)+vlookup(A37,importrange(""https://docs.google.com/spreadsheets/d/1arpJoJSlKHkJ-Zn4sJxqp3okt8tUTIYCnkob2xnYiCU/edit?usp=sharing"",""May 2026!$"&amp;"A:$AH""),34,0)+vlookup(A37,importrange(""https://docs.google.com/spreadsheets/d/1arpJoJSlKHkJ-Zn4sJxqp3okt8tUTIYCnkob2xnYiCU/edit?usp=sharing"",""June 2026!$A:$AH""),34,0)+vlookup(A37,importrange(""https://docs.google.com/spreadsheets/d/1arpJoJSlKHkJ-Zn4s"&amp;"Jxqp3okt8tUTIYCnkob2xnYiCU/edit?usp=sharing"",""Current Month!$A:$AH""),34,0)"),7)</f>
        <v>7</v>
      </c>
      <c r="C33" s="7">
        <f ca="1">IFERROR(__xludf.DUMMYFUNCTION("vlookup(A37,importrange(""https://docs.google.com/spreadsheets/d/1arpJoJSlKHkJ-Zn4sJxqp3okt8tUTIYCnkob2xnYiCU/edit?usp=sharing"",""Jan 2026!$A:$AI""),35,0)+vlookup(A37,importrange(""https://docs.google.com/spreadsheets/d/1arpJoJSlKHkJ-Zn4sJxqp3okt8tUTIYCn"&amp;"kob2xnYiCU/edit?usp=sharing"",""Feb 2026!$A:$AI""),35,0)+vlookup(A37,importrange(""https://docs.google.com/spreadsheets/d/1arpJoJSlKHkJ-Zn4sJxqp3okt8tUTIYCnkob2xnYiCU/edit?usp=sharing"",""Mar 2026!$A:$AI""),35,0)+vlookup(A37,importrange(""https://docs.goo"&amp;"gle.com/spreadsheets/d/1arpJoJSlKHkJ-Zn4sJxqp3okt8tUTIYCnkob2xnYiCU/edit?usp=sharing"",""Apr 2026!$A:$AI""),35,0)+vlookup(A37,importrange(""https://docs.google.com/spreadsheets/d/1arpJoJSlKHkJ-Zn4sJxqp3okt8tUTIYCnkob2xnYiCU/edit?usp=sharing"",""May 2026!$"&amp;"A:$AI""),35,0)+vlookup(A37,importrange(""https://docs.google.com/spreadsheets/d/1arpJoJSlKHkJ-Zn4sJxqp3okt8tUTIYCnkob2xnYiCU/edit?usp=sharing"",""June 2026!$A:$AI""),35,0)+vlookup(A37,importrange(""https://docs.google.com/spreadsheets/d/1arpJoJSlKHkJ-Zn4s"&amp;"Jxqp3okt8tUTIYCnkob2xnYiCU/edit?usp=sharing"",""Current Month!$A:$AI""),35,0)"),7)</f>
        <v>7</v>
      </c>
      <c r="D33" s="7">
        <f ca="1">IFERROR(__xludf.DUMMYFUNCTION("vlookup(A37,importrange(""https://docs.google.com/spreadsheets/d/1arpJoJSlKHkJ-Zn4sJxqp3okt8tUTIYCnkob2xnYiCU/edit?usp=sharing"",""Jan 2026!$A:$AJ""),36,0)+vlookup(A37,importrange(""https://docs.google.com/spreadsheets/d/1arpJoJSlKHkJ-Zn4sJxqp3okt8tUTIYCn"&amp;"kob2xnYiCU/edit?usp=sharing"",""Feb 2026!$A:$AJ""),36,0)+vlookup(A37,importrange(""https://docs.google.com/spreadsheets/d/1arpJoJSlKHkJ-Zn4sJxqp3okt8tUTIYCnkob2xnYiCU/edit?usp=sharing"",""Mar 2026!$A:$AJ""),36,0)+vlookup(A37,importrange(""https://docs.goo"&amp;"gle.com/spreadsheets/d/1arpJoJSlKHkJ-Zn4sJxqp3okt8tUTIYCnkob2xnYiCU/edit?usp=sharing"",""Apr 2026!$A:$AJ""),36,0)+vlookup(A37,importrange(""https://docs.google.com/spreadsheets/d/1arpJoJSlKHkJ-Zn4sJxqp3okt8tUTIYCnkob2xnYiCU/edit?usp=sharing"",""May 2026!$"&amp;"A:$AJ""),36,0)+vlookup(A37,importrange(""https://docs.google.com/spreadsheets/d/1arpJoJSlKHkJ-Zn4sJxqp3okt8tUTIYCnkob2xnYiCU/edit?usp=sharing"",""June 2026!$A:$AJ""),36,0)+vlookup(A37,importrange(""https://docs.google.com/spreadsheets/d/1arpJoJSlKHkJ-Zn4s"&amp;"Jxqp3okt8tUTIYCnkob2xnYiCU/edit?usp=sharing"",""Current Month!$A:$AJ""),36,0)"),0)</f>
        <v>0</v>
      </c>
      <c r="E33" s="7">
        <f ca="1">IFERROR(__xludf.DUMMYFUNCTION("vlookup(A37,importrange(""https://docs.google.com/spreadsheets/d/1arpJoJSlKHkJ-Zn4sJxqp3okt8tUTIYCnkob2xnYiCU/edit?usp=sharing"",""Jan 2026!$A:$AK""),37,0)+vlookup(A37,importrange(""https://docs.google.com/spreadsheets/d/1arpJoJSlKHkJ-Zn4sJxqp3okt8tUTIYCn"&amp;"kob2xnYiCU/edit?usp=sharing"",""Feb 2026!$A:$AK""),37,0)+vlookup(A37,importrange(""https://docs.google.com/spreadsheets/d/1arpJoJSlKHkJ-Zn4sJxqp3okt8tUTIYCnkob2xnYiCU/edit?usp=sharing"",""Mar 2026!$A:$AK""),37,0)+vlookup(A37,importrange(""https://docs.goo"&amp;"gle.com/spreadsheets/d/1arpJoJSlKHkJ-Zn4sJxqp3okt8tUTIYCnkob2xnYiCU/edit?usp=sharing"",""Apr 2026!$A:$AK""),37,0)+vlookup(A37,importrange(""https://docs.google.com/spreadsheets/d/1arpJoJSlKHkJ-Zn4sJxqp3okt8tUTIYCnkob2xnYiCU/edit?usp=sharing"",""May 2026!$"&amp;"A:$AK""),37,0)+vlookup(A37,importrange(""https://docs.google.com/spreadsheets/d/1arpJoJSlKHkJ-Zn4sJxqp3okt8tUTIYCnkob2xnYiCU/edit?usp=sharing"",""June 2026!$A:$AK""),37,0)+vlookup(A37,importrange(""https://docs.google.com/spreadsheets/d/1arpJoJSlKHkJ-Zn4s"&amp;"Jxqp3okt8tUTIYCnkob2xnYiCU/edit?usp=sharing"",""Current Month!$A:$AK""),37,0)"),0)</f>
        <v>0</v>
      </c>
      <c r="F33" s="7">
        <f t="shared" ca="1" si="0"/>
        <v>3</v>
      </c>
      <c r="G33" s="7">
        <f ca="1">IFERROR(__xludf.DUMMYFUNCTION("vlookup(A37,importrange(""https://docs.google.com/spreadsheets/d/1arpJoJSlKHkJ-Zn4sJxqp3okt8tUTIYCnkob2xnYiCU/edit?usp=sharing"",""Jan 2026!$A:$AN""),40,0)+vlookup(A37,importrange(""https://docs.google.com/spreadsheets/d/1arpJoJSlKHkJ-Zn4sJxqp3okt8tUTIYCn"&amp;"kob2xnYiCU/edit?usp=sharing"",""Feb 2026!$A:$AN""),40,0)+vlookup(A37,importrange(""https://docs.google.com/spreadsheets/d/1arpJoJSlKHkJ-Zn4sJxqp3okt8tUTIYCnkob2xnYiCU/edit?usp=sharing"",""Mar 2026!$A:$AN""),40,0)+vlookup(A37,importrange(""https://docs.goo"&amp;"gle.com/spreadsheets/d/1arpJoJSlKHkJ-Zn4sJxqp3okt8tUTIYCnkob2xnYiCU/edit?usp=sharing"",""Apr 2026!$A:$AN""),40,0)+vlookup(A37,importrange(""https://docs.google.com/spreadsheets/d/1arpJoJSlKHkJ-Zn4sJxqp3okt8tUTIYCnkob2xnYiCU/edit?usp=sharing"",""May 2026!$"&amp;"A:$AN""),40,0)+vlookup(A37,importrange(""https://docs.google.com/spreadsheets/d/1arpJoJSlKHkJ-Zn4sJxqp3okt8tUTIYCnkob2xnYiCU/edit?usp=sharing"",""June 2026!$A:$AN""),40,0)+vlookup(A37,importrange(""https://docs.google.com/spreadsheets/d/1arpJoJSlKHkJ-Zn4s"&amp;"Jxqp3okt8tUTIYCnkob2xnYiCU/edit?usp=sharing"",""Current Month!$A:$AN""),40,0)"),1)</f>
        <v>1</v>
      </c>
      <c r="H33" s="7">
        <v>12</v>
      </c>
      <c r="I33" s="8">
        <f t="shared" ca="1" si="1"/>
        <v>7</v>
      </c>
      <c r="J33" s="7">
        <f ca="1">IFERROR(__xludf.DUMMYFUNCTION("vlookup(A37,importrange(""https://docs.google.com/spreadsheets/d/1arpJoJSlKHkJ-Zn4sJxqp3okt8tUTIYCnkob2xnYiCU/edit?usp=sharing"",""Jan 2026!$A:$AP""),41,0)+vlookup(A37,importrange(""https://docs.google.com/spreadsheets/d/1arpJoJSlKHkJ-Zn4sJxqp3okt8tUTIYCn"&amp;"kob2xnYiCU/edit?usp=sharing"",""Feb 2026!$A:$AP""),41,0)+vlookup(A37,importrange(""https://docs.google.com/spreadsheets/d/1arpJoJSlKHkJ-Zn4sJxqp3okt8tUTIYCnkob2xnYiCU/edit?usp=sharing"",""Mar 2026!$A:$AP""),41,0)+vlookup(A37,importrange(""https://docs.goo"&amp;"gle.com/spreadsheets/d/1arpJoJSlKHkJ-Zn4sJxqp3okt8tUTIYCnkob2xnYiCU/edit?usp=sharing"",""Current Month!$A:$AP""),41,0)"),8)</f>
        <v>8</v>
      </c>
      <c r="K33" s="9">
        <f ca="1">IFERROR(__xludf.DUMMYFUNCTION("J37/((vlookup(A37,importrange(""https://docs.google.com/spreadsheets/d/1arpJoJSlKHkJ-Zn4sJxqp3okt8tUTIYCnkob2xnYiCU/edit?usp=sharing"",""Jan 2026!$A:$AG""),33,0))+(vlookup(A37,importrange(""https://docs.google.com/spreadsheets/d/1arpJoJSlKHkJ-Zn4sJxqp3okt"&amp;"8tUTIYCnkob2xnYiCU/edit?usp=sharing"",""Feb 2026!$A:$AG""),33,0))+(vlookup(A37,importrange(""https://docs.google.com/spreadsheets/d/1arpJoJSlKHkJ-Zn4sJxqp3okt8tUTIYCnkob2xnYiCU/edit?usp=sharing"",""Mar 2026!$A:$AG""),33,0))+(vlookup(A37,importrange(""http"&amp;"s://docs.google.com/spreadsheets/d/1arpJoJSlKHkJ-Zn4sJxqp3okt8tUTIYCnkob2xnYiCU/edit?usp=sharing"",""Apr 2026!$A:$AG""),33,0))+(vlookup(A37,importrange(""https://docs.google.com/spreadsheets/d/1arpJoJSlKHkJ-Zn4sJxqp3okt8tUTIYCnkob2xnYiCU/edit?usp=sharing"&amp;""",""Current Month!$A:$AG""),33,0)))"),0.0898876404494382)</f>
        <v>8.98876404494382E-2</v>
      </c>
      <c r="L33" s="7">
        <f ca="1">IFERROR(__xludf.DUMMYFUNCTION("vlookup(A37,importrange(""https://docs.google.com/spreadsheets/d/1arpJoJSlKHkJ-Zn4sJxqp3okt8tUTIYCnkob2xnYiCU/edit?usp=sharing"",""Current Month!$A:$AP""),42,0)+vlookup(A37,importrange(""https://docs.google.com/spreadsheets/d/1arpJoJSlKHkJ-Zn4sJxqp3okt8tU"&amp;"TIYCnkob2xnYiCU/edit?usp=sharing"",""Jan 2026!$A:$AP""),42,0)+vlookup(A37,importrange(""https://docs.google.com/spreadsheets/d/1arpJoJSlKHkJ-Zn4sJxqp3okt8tUTIYCnkob2xnYiCU/edit?usp=sharing"",""Feb 2026!$A:$AP""),42,0)+vlookup(A37,importrange(""https://doc"&amp;"s.google.com/spreadsheets/d/1arpJoJSlKHkJ-Zn4sJxqp3okt8tUTIYCnkob2xnYiCU/edit?usp=sharing"",""Mar 2026!$A:$AP""),42,0)+vlookup(A37,importrange(""https://docs.google.com/spreadsheets/d/1arpJoJSlKHkJ-Zn4sJxqp3okt8tUTIYCnkob2xnYiCU/edit?usp=sharing"",""Apr 2"&amp;"026!$A:$AP""),42,0)"),1)</f>
        <v>1</v>
      </c>
    </row>
    <row r="34" spans="1:12" ht="15.75" customHeight="1" x14ac:dyDescent="0.35">
      <c r="A34" s="6" t="s">
        <v>43</v>
      </c>
      <c r="B34" s="7">
        <f ca="1">IFERROR(__xludf.DUMMYFUNCTION("vlookup(A38,importrange(""https://docs.google.com/spreadsheets/d/1arpJoJSlKHkJ-Zn4sJxqp3okt8tUTIYCnkob2xnYiCU/edit?usp=sharing"",""Jan 2026!$A:$AH""),34,0)+vlookup(A38,importrange(""https://docs.google.com/spreadsheets/d/1arpJoJSlKHkJ-Zn4sJxqp3okt8tUTIYCn"&amp;"kob2xnYiCU/edit?usp=sharing"",""Feb 2026!$A:$AH""),34,0)+vlookup(A38,importrange(""https://docs.google.com/spreadsheets/d/1arpJoJSlKHkJ-Zn4sJxqp3okt8tUTIYCnkob2xnYiCU/edit?usp=sharing"",""Mar 2026!$A:$AH""),34,0)+vlookup(A38,importrange(""https://docs.goo"&amp;"gle.com/spreadsheets/d/1arpJoJSlKHkJ-Zn4sJxqp3okt8tUTIYCnkob2xnYiCU/edit?usp=sharing"",""Apr 2026!$A:$AH""),34,0)+vlookup(A38,importrange(""https://docs.google.com/spreadsheets/d/1arpJoJSlKHkJ-Zn4sJxqp3okt8tUTIYCnkob2xnYiCU/edit?usp=sharing"",""May 2026!$"&amp;"A:$AH""),34,0)+vlookup(A38,importrange(""https://docs.google.com/spreadsheets/d/1arpJoJSlKHkJ-Zn4sJxqp3okt8tUTIYCnkob2xnYiCU/edit?usp=sharing"",""June 2026!$A:$AH""),34,0)+vlookup(A38,importrange(""https://docs.google.com/spreadsheets/d/1arpJoJSlKHkJ-Zn4s"&amp;"Jxqp3okt8tUTIYCnkob2xnYiCU/edit?usp=sharing"",""Current Month!$A:$AH""),34,0)"),3)</f>
        <v>3</v>
      </c>
      <c r="C34" s="7">
        <f ca="1">IFERROR(__xludf.DUMMYFUNCTION("vlookup(A38,importrange(""https://docs.google.com/spreadsheets/d/1arpJoJSlKHkJ-Zn4sJxqp3okt8tUTIYCnkob2xnYiCU/edit?usp=sharing"",""Jan 2026!$A:$AI""),35,0)+vlookup(A38,importrange(""https://docs.google.com/spreadsheets/d/1arpJoJSlKHkJ-Zn4sJxqp3okt8tUTIYCn"&amp;"kob2xnYiCU/edit?usp=sharing"",""Feb 2026!$A:$AI""),35,0)+vlookup(A38,importrange(""https://docs.google.com/spreadsheets/d/1arpJoJSlKHkJ-Zn4sJxqp3okt8tUTIYCnkob2xnYiCU/edit?usp=sharing"",""Mar 2026!$A:$AI""),35,0)+vlookup(A38,importrange(""https://docs.goo"&amp;"gle.com/spreadsheets/d/1arpJoJSlKHkJ-Zn4sJxqp3okt8tUTIYCnkob2xnYiCU/edit?usp=sharing"",""Apr 2026!$A:$AI""),35,0)+vlookup(A38,importrange(""https://docs.google.com/spreadsheets/d/1arpJoJSlKHkJ-Zn4sJxqp3okt8tUTIYCnkob2xnYiCU/edit?usp=sharing"",""May 2026!$"&amp;"A:$AI""),35,0)+vlookup(A38,importrange(""https://docs.google.com/spreadsheets/d/1arpJoJSlKHkJ-Zn4sJxqp3okt8tUTIYCnkob2xnYiCU/edit?usp=sharing"",""June 2026!$A:$AI""),35,0)+vlookup(A38,importrange(""https://docs.google.com/spreadsheets/d/1arpJoJSlKHkJ-Zn4s"&amp;"Jxqp3okt8tUTIYCnkob2xnYiCU/edit?usp=sharing"",""Current Month!$A:$AI""),35,0)"),1)</f>
        <v>1</v>
      </c>
      <c r="D34" s="7">
        <f ca="1">IFERROR(__xludf.DUMMYFUNCTION("vlookup(A38,importrange(""https://docs.google.com/spreadsheets/d/1arpJoJSlKHkJ-Zn4sJxqp3okt8tUTIYCnkob2xnYiCU/edit?usp=sharing"",""Jan 2026!$A:$AJ""),36,0)+vlookup(A38,importrange(""https://docs.google.com/spreadsheets/d/1arpJoJSlKHkJ-Zn4sJxqp3okt8tUTIYCn"&amp;"kob2xnYiCU/edit?usp=sharing"",""Feb 2026!$A:$AJ""),36,0)+vlookup(A38,importrange(""https://docs.google.com/spreadsheets/d/1arpJoJSlKHkJ-Zn4sJxqp3okt8tUTIYCnkob2xnYiCU/edit?usp=sharing"",""Mar 2026!$A:$AJ""),36,0)+vlookup(A38,importrange(""https://docs.goo"&amp;"gle.com/spreadsheets/d/1arpJoJSlKHkJ-Zn4sJxqp3okt8tUTIYCnkob2xnYiCU/edit?usp=sharing"",""Apr 2026!$A:$AJ""),36,0)+vlookup(A38,importrange(""https://docs.google.com/spreadsheets/d/1arpJoJSlKHkJ-Zn4sJxqp3okt8tUTIYCnkob2xnYiCU/edit?usp=sharing"",""May 2026!$"&amp;"A:$AJ""),36,0)+vlookup(A38,importrange(""https://docs.google.com/spreadsheets/d/1arpJoJSlKHkJ-Zn4sJxqp3okt8tUTIYCnkob2xnYiCU/edit?usp=sharing"",""June 2026!$A:$AJ""),36,0)+vlookup(A38,importrange(""https://docs.google.com/spreadsheets/d/1arpJoJSlKHkJ-Zn4s"&amp;"Jxqp3okt8tUTIYCnkob2xnYiCU/edit?usp=sharing"",""Current Month!$A:$AJ""),36,0)"),4)</f>
        <v>4</v>
      </c>
      <c r="E34" s="7">
        <f ca="1">IFERROR(__xludf.DUMMYFUNCTION("vlookup(A38,importrange(""https://docs.google.com/spreadsheets/d/1arpJoJSlKHkJ-Zn4sJxqp3okt8tUTIYCnkob2xnYiCU/edit?usp=sharing"",""Jan 2026!$A:$AK""),37,0)+vlookup(A38,importrange(""https://docs.google.com/spreadsheets/d/1arpJoJSlKHkJ-Zn4sJxqp3okt8tUTIYCn"&amp;"kob2xnYiCU/edit?usp=sharing"",""Feb 2026!$A:$AK""),37,0)+vlookup(A38,importrange(""https://docs.google.com/spreadsheets/d/1arpJoJSlKHkJ-Zn4sJxqp3okt8tUTIYCnkob2xnYiCU/edit?usp=sharing"",""Mar 2026!$A:$AK""),37,0)+vlookup(A38,importrange(""https://docs.goo"&amp;"gle.com/spreadsheets/d/1arpJoJSlKHkJ-Zn4sJxqp3okt8tUTIYCnkob2xnYiCU/edit?usp=sharing"",""Apr 2026!$A:$AK""),37,0)+vlookup(A38,importrange(""https://docs.google.com/spreadsheets/d/1arpJoJSlKHkJ-Zn4sJxqp3okt8tUTIYCnkob2xnYiCU/edit?usp=sharing"",""May 2026!$"&amp;"A:$AK""),37,0)+vlookup(A38,importrange(""https://docs.google.com/spreadsheets/d/1arpJoJSlKHkJ-Zn4sJxqp3okt8tUTIYCnkob2xnYiCU/edit?usp=sharing"",""June 2026!$A:$AK""),37,0)+vlookup(A38,importrange(""https://docs.google.com/spreadsheets/d/1arpJoJSlKHkJ-Zn4s"&amp;"Jxqp3okt8tUTIYCnkob2xnYiCU/edit?usp=sharing"",""Current Month!$A:$AK""),37,0)"),0)</f>
        <v>0</v>
      </c>
      <c r="F34" s="7">
        <f t="shared" ca="1" si="0"/>
        <v>3</v>
      </c>
      <c r="G34" s="7">
        <f ca="1">IFERROR(__xludf.DUMMYFUNCTION("vlookup(A38,importrange(""https://docs.google.com/spreadsheets/d/1arpJoJSlKHkJ-Zn4sJxqp3okt8tUTIYCnkob2xnYiCU/edit?usp=sharing"",""Jan 2026!$A:$AN""),40,0)+vlookup(A38,importrange(""https://docs.google.com/spreadsheets/d/1arpJoJSlKHkJ-Zn4sJxqp3okt8tUTIYCn"&amp;"kob2xnYiCU/edit?usp=sharing"",""Feb 2026!$A:$AN""),40,0)+vlookup(A38,importrange(""https://docs.google.com/spreadsheets/d/1arpJoJSlKHkJ-Zn4sJxqp3okt8tUTIYCnkob2xnYiCU/edit?usp=sharing"",""Mar 2026!$A:$AN""),40,0)+vlookup(A38,importrange(""https://docs.goo"&amp;"gle.com/spreadsheets/d/1arpJoJSlKHkJ-Zn4sJxqp3okt8tUTIYCnkob2xnYiCU/edit?usp=sharing"",""Apr 2026!$A:$AN""),40,0)+vlookup(A38,importrange(""https://docs.google.com/spreadsheets/d/1arpJoJSlKHkJ-Zn4sJxqp3okt8tUTIYCnkob2xnYiCU/edit?usp=sharing"",""May 2026!$"&amp;"A:$AN""),40,0)+vlookup(A38,importrange(""https://docs.google.com/spreadsheets/d/1arpJoJSlKHkJ-Zn4sJxqp3okt8tUTIYCnkob2xnYiCU/edit?usp=sharing"",""June 2026!$A:$AN""),40,0)+vlookup(A38,importrange(""https://docs.google.com/spreadsheets/d/1arpJoJSlKHkJ-Zn4s"&amp;"Jxqp3okt8tUTIYCnkob2xnYiCU/edit?usp=sharing"",""Current Month!$A:$AN""),40,0)"),1)</f>
        <v>1</v>
      </c>
      <c r="H34" s="7">
        <v>12</v>
      </c>
      <c r="I34" s="8">
        <f t="shared" ca="1" si="1"/>
        <v>17</v>
      </c>
      <c r="J34" s="7">
        <f ca="1">IFERROR(__xludf.DUMMYFUNCTION("vlookup(A38,importrange(""https://docs.google.com/spreadsheets/d/1arpJoJSlKHkJ-Zn4sJxqp3okt8tUTIYCnkob2xnYiCU/edit?usp=sharing"",""Jan 2026!$A:$AP""),41,0)+vlookup(A38,importrange(""https://docs.google.com/spreadsheets/d/1arpJoJSlKHkJ-Zn4sJxqp3okt8tUTIYCn"&amp;"kob2xnYiCU/edit?usp=sharing"",""Feb 2026!$A:$AP""),41,0)+vlookup(A38,importrange(""https://docs.google.com/spreadsheets/d/1arpJoJSlKHkJ-Zn4sJxqp3okt8tUTIYCnkob2xnYiCU/edit?usp=sharing"",""Mar 2026!$A:$AP""),41,0)+vlookup(A38,importrange(""https://docs.goo"&amp;"gle.com/spreadsheets/d/1arpJoJSlKHkJ-Zn4sJxqp3okt8tUTIYCnkob2xnYiCU/edit?usp=sharing"",""Current Month!$A:$AP""),41,0)"),19)</f>
        <v>19</v>
      </c>
      <c r="K34" s="9">
        <f ca="1">IFERROR(__xludf.DUMMYFUNCTION("J38/((vlookup(A38,importrange(""https://docs.google.com/spreadsheets/d/1arpJoJSlKHkJ-Zn4sJxqp3okt8tUTIYCnkob2xnYiCU/edit?usp=sharing"",""Jan 2026!$A:$AG""),33,0))+(vlookup(A38,importrange(""https://docs.google.com/spreadsheets/d/1arpJoJSlKHkJ-Zn4sJxqp3okt"&amp;"8tUTIYCnkob2xnYiCU/edit?usp=sharing"",""Feb 2026!$A:$AG""),33,0))+(vlookup(A38,importrange(""https://docs.google.com/spreadsheets/d/1arpJoJSlKHkJ-Zn4sJxqp3okt8tUTIYCnkob2xnYiCU/edit?usp=sharing"",""Mar 2026!$A:$AG""),33,0))+(vlookup(A38,importrange(""http"&amp;"s://docs.google.com/spreadsheets/d/1arpJoJSlKHkJ-Zn4sJxqp3okt8tUTIYCnkob2xnYiCU/edit?usp=sharing"",""Apr 2026!$A:$AG""),33,0))+(vlookup(A38,importrange(""https://docs.google.com/spreadsheets/d/1arpJoJSlKHkJ-Zn4sJxqp3okt8tUTIYCnkob2xnYiCU/edit?usp=sharing"&amp;""",""Current Month!$A:$AG""),33,0)))"),0.223529411764705)</f>
        <v>0.223529411764705</v>
      </c>
      <c r="L34" s="7">
        <f ca="1">IFERROR(__xludf.DUMMYFUNCTION("vlookup(A38,importrange(""https://docs.google.com/spreadsheets/d/1arpJoJSlKHkJ-Zn4sJxqp3okt8tUTIYCnkob2xnYiCU/edit?usp=sharing"",""Current Month!$A:$AP""),42,0)+vlookup(A38,importrange(""https://docs.google.com/spreadsheets/d/1arpJoJSlKHkJ-Zn4sJxqp3okt8tU"&amp;"TIYCnkob2xnYiCU/edit?usp=sharing"",""Jan 2026!$A:$AP""),42,0)+vlookup(A38,importrange(""https://docs.google.com/spreadsheets/d/1arpJoJSlKHkJ-Zn4sJxqp3okt8tUTIYCnkob2xnYiCU/edit?usp=sharing"",""Feb 2026!$A:$AP""),42,0)+vlookup(A38,importrange(""https://doc"&amp;"s.google.com/spreadsheets/d/1arpJoJSlKHkJ-Zn4sJxqp3okt8tUTIYCnkob2xnYiCU/edit?usp=sharing"",""Mar 2026!$A:$AP""),42,0)+vlookup(A38,importrange(""https://docs.google.com/spreadsheets/d/1arpJoJSlKHkJ-Zn4sJxqp3okt8tUTIYCnkob2xnYiCU/edit?usp=sharing"",""Apr 2"&amp;"026!$A:$AP""),42,0)"),5)</f>
        <v>5</v>
      </c>
    </row>
    <row r="35" spans="1:12" ht="15.75" customHeight="1" x14ac:dyDescent="0.35">
      <c r="A35" s="6" t="s">
        <v>44</v>
      </c>
      <c r="B35" s="7">
        <f ca="1">IFERROR(__xludf.DUMMYFUNCTION("vlookup(A39,importrange(""https://docs.google.com/spreadsheets/d/1arpJoJSlKHkJ-Zn4sJxqp3okt8tUTIYCnkob2xnYiCU/edit?usp=sharing"",""Jan 2026!$A:$AH""),34,0)+vlookup(A39,importrange(""https://docs.google.com/spreadsheets/d/1arpJoJSlKHkJ-Zn4sJxqp3okt8tUTIYCn"&amp;"kob2xnYiCU/edit?usp=sharing"",""Feb 2026!$A:$AH""),34,0)+vlookup(A39,importrange(""https://docs.google.com/spreadsheets/d/1arpJoJSlKHkJ-Zn4sJxqp3okt8tUTIYCnkob2xnYiCU/edit?usp=sharing"",""Mar 2026!$A:$AH""),34,0)+vlookup(A39,importrange(""https://docs.goo"&amp;"gle.com/spreadsheets/d/1arpJoJSlKHkJ-Zn4sJxqp3okt8tUTIYCnkob2xnYiCU/edit?usp=sharing"",""Apr 2026!$A:$AH""),34,0)+vlookup(A39,importrange(""https://docs.google.com/spreadsheets/d/1arpJoJSlKHkJ-Zn4sJxqp3okt8tUTIYCnkob2xnYiCU/edit?usp=sharing"",""May 2026!$"&amp;"A:$AH""),34,0)+vlookup(A39,importrange(""https://docs.google.com/spreadsheets/d/1arpJoJSlKHkJ-Zn4sJxqp3okt8tUTIYCnkob2xnYiCU/edit?usp=sharing"",""June 2026!$A:$AH""),34,0)+vlookup(A39,importrange(""https://docs.google.com/spreadsheets/d/1arpJoJSlKHkJ-Zn4s"&amp;"Jxqp3okt8tUTIYCnkob2xnYiCU/edit?usp=sharing"",""Current Month!$A:$AH""),34,0)"),8)</f>
        <v>8</v>
      </c>
      <c r="C35" s="7">
        <f ca="1">IFERROR(__xludf.DUMMYFUNCTION("vlookup(A39,importrange(""https://docs.google.com/spreadsheets/d/1arpJoJSlKHkJ-Zn4sJxqp3okt8tUTIYCnkob2xnYiCU/edit?usp=sharing"",""Jan 2026!$A:$AI""),35,0)+vlookup(A39,importrange(""https://docs.google.com/spreadsheets/d/1arpJoJSlKHkJ-Zn4sJxqp3okt8tUTIYCn"&amp;"kob2xnYiCU/edit?usp=sharing"",""Feb 2026!$A:$AI""),35,0)+vlookup(A39,importrange(""https://docs.google.com/spreadsheets/d/1arpJoJSlKHkJ-Zn4sJxqp3okt8tUTIYCnkob2xnYiCU/edit?usp=sharing"",""Mar 2026!$A:$AI""),35,0)+vlookup(A39,importrange(""https://docs.goo"&amp;"gle.com/spreadsheets/d/1arpJoJSlKHkJ-Zn4sJxqp3okt8tUTIYCnkob2xnYiCU/edit?usp=sharing"",""Apr 2026!$A:$AI""),35,0)+vlookup(A39,importrange(""https://docs.google.com/spreadsheets/d/1arpJoJSlKHkJ-Zn4sJxqp3okt8tUTIYCnkob2xnYiCU/edit?usp=sharing"",""May 2026!$"&amp;"A:$AI""),35,0)+vlookup(A39,importrange(""https://docs.google.com/spreadsheets/d/1arpJoJSlKHkJ-Zn4sJxqp3okt8tUTIYCnkob2xnYiCU/edit?usp=sharing"",""June 2026!$A:$AI""),35,0)+vlookup(A39,importrange(""https://docs.google.com/spreadsheets/d/1arpJoJSlKHkJ-Zn4s"&amp;"Jxqp3okt8tUTIYCnkob2xnYiCU/edit?usp=sharing"",""Current Month!$A:$AI""),35,0)"),0)</f>
        <v>0</v>
      </c>
      <c r="D35" s="7">
        <f ca="1">IFERROR(__xludf.DUMMYFUNCTION("vlookup(A39,importrange(""https://docs.google.com/spreadsheets/d/1arpJoJSlKHkJ-Zn4sJxqp3okt8tUTIYCnkob2xnYiCU/edit?usp=sharing"",""Jan 2026!$A:$AJ""),36,0)+vlookup(A39,importrange(""https://docs.google.com/spreadsheets/d/1arpJoJSlKHkJ-Zn4sJxqp3okt8tUTIYCn"&amp;"kob2xnYiCU/edit?usp=sharing"",""Feb 2026!$A:$AJ""),36,0)+vlookup(A39,importrange(""https://docs.google.com/spreadsheets/d/1arpJoJSlKHkJ-Zn4sJxqp3okt8tUTIYCnkob2xnYiCU/edit?usp=sharing"",""Mar 2026!$A:$AJ""),36,0)+vlookup(A39,importrange(""https://docs.goo"&amp;"gle.com/spreadsheets/d/1arpJoJSlKHkJ-Zn4sJxqp3okt8tUTIYCnkob2xnYiCU/edit?usp=sharing"",""Apr 2026!$A:$AJ""),36,0)+vlookup(A39,importrange(""https://docs.google.com/spreadsheets/d/1arpJoJSlKHkJ-Zn4sJxqp3okt8tUTIYCnkob2xnYiCU/edit?usp=sharing"",""May 2026!$"&amp;"A:$AJ""),36,0)+vlookup(A39,importrange(""https://docs.google.com/spreadsheets/d/1arpJoJSlKHkJ-Zn4sJxqp3okt8tUTIYCnkob2xnYiCU/edit?usp=sharing"",""June 2026!$A:$AJ""),36,0)+vlookup(A39,importrange(""https://docs.google.com/spreadsheets/d/1arpJoJSlKHkJ-Zn4s"&amp;"Jxqp3okt8tUTIYCnkob2xnYiCU/edit?usp=sharing"",""Current Month!$A:$AJ""),36,0)"),2)</f>
        <v>2</v>
      </c>
      <c r="E35" s="7">
        <f ca="1">IFERROR(__xludf.DUMMYFUNCTION("vlookup(A39,importrange(""https://docs.google.com/spreadsheets/d/1arpJoJSlKHkJ-Zn4sJxqp3okt8tUTIYCnkob2xnYiCU/edit?usp=sharing"",""Jan 2026!$A:$AK""),37,0)+vlookup(A39,importrange(""https://docs.google.com/spreadsheets/d/1arpJoJSlKHkJ-Zn4sJxqp3okt8tUTIYCn"&amp;"kob2xnYiCU/edit?usp=sharing"",""Feb 2026!$A:$AK""),37,0)+vlookup(A39,importrange(""https://docs.google.com/spreadsheets/d/1arpJoJSlKHkJ-Zn4sJxqp3okt8tUTIYCnkob2xnYiCU/edit?usp=sharing"",""Mar 2026!$A:$AK""),37,0)+vlookup(A39,importrange(""https://docs.goo"&amp;"gle.com/spreadsheets/d/1arpJoJSlKHkJ-Zn4sJxqp3okt8tUTIYCnkob2xnYiCU/edit?usp=sharing"",""Apr 2026!$A:$AK""),37,0)+vlookup(A39,importrange(""https://docs.google.com/spreadsheets/d/1arpJoJSlKHkJ-Zn4sJxqp3okt8tUTIYCnkob2xnYiCU/edit?usp=sharing"",""May 2026!$"&amp;"A:$AK""),37,0)+vlookup(A39,importrange(""https://docs.google.com/spreadsheets/d/1arpJoJSlKHkJ-Zn4sJxqp3okt8tUTIYCnkob2xnYiCU/edit?usp=sharing"",""June 2026!$A:$AK""),37,0)+vlookup(A39,importrange(""https://docs.google.com/spreadsheets/d/1arpJoJSlKHkJ-Zn4s"&amp;"Jxqp3okt8tUTIYCnkob2xnYiCU/edit?usp=sharing"",""Current Month!$A:$AK""),37,0)"),0)</f>
        <v>0</v>
      </c>
      <c r="F35" s="7">
        <f t="shared" ca="1" si="0"/>
        <v>4</v>
      </c>
      <c r="G35" s="7">
        <f ca="1">IFERROR(__xludf.DUMMYFUNCTION("vlookup(A39,importrange(""https://docs.google.com/spreadsheets/d/1arpJoJSlKHkJ-Zn4sJxqp3okt8tUTIYCnkob2xnYiCU/edit?usp=sharing"",""Jan 2026!$A:$AN""),40,0)+vlookup(A39,importrange(""https://docs.google.com/spreadsheets/d/1arpJoJSlKHkJ-Zn4sJxqp3okt8tUTIYCn"&amp;"kob2xnYiCU/edit?usp=sharing"",""Feb 2026!$A:$AN""),40,0)+vlookup(A39,importrange(""https://docs.google.com/spreadsheets/d/1arpJoJSlKHkJ-Zn4sJxqp3okt8tUTIYCnkob2xnYiCU/edit?usp=sharing"",""Mar 2026!$A:$AN""),40,0)+vlookup(A39,importrange(""https://docs.goo"&amp;"gle.com/spreadsheets/d/1arpJoJSlKHkJ-Zn4sJxqp3okt8tUTIYCnkob2xnYiCU/edit?usp=sharing"",""Apr 2026!$A:$AN""),40,0)+vlookup(A39,importrange(""https://docs.google.com/spreadsheets/d/1arpJoJSlKHkJ-Zn4sJxqp3okt8tUTIYCnkob2xnYiCU/edit?usp=sharing"",""May 2026!$"&amp;"A:$AN""),40,0)+vlookup(A39,importrange(""https://docs.google.com/spreadsheets/d/1arpJoJSlKHkJ-Zn4sJxqp3okt8tUTIYCnkob2xnYiCU/edit?usp=sharing"",""June 2026!$A:$AN""),40,0)+vlookup(A39,importrange(""https://docs.google.com/spreadsheets/d/1arpJoJSlKHkJ-Zn4s"&amp;"Jxqp3okt8tUTIYCnkob2xnYiCU/edit?usp=sharing"",""Current Month!$A:$AN""),40,0)"),0)</f>
        <v>0</v>
      </c>
      <c r="H35" s="7">
        <v>12</v>
      </c>
      <c r="I35" s="8">
        <f t="shared" ca="1" si="1"/>
        <v>13</v>
      </c>
      <c r="J35" s="7">
        <f ca="1">IFERROR(__xludf.DUMMYFUNCTION("vlookup(A39,importrange(""https://docs.google.com/spreadsheets/d/1arpJoJSlKHkJ-Zn4sJxqp3okt8tUTIYCnkob2xnYiCU/edit?usp=sharing"",""Jan 2026!$A:$AP""),41,0)+vlookup(A39,importrange(""https://docs.google.com/spreadsheets/d/1arpJoJSlKHkJ-Zn4sJxqp3okt8tUTIYCn"&amp;"kob2xnYiCU/edit?usp=sharing"",""Feb 2026!$A:$AP""),41,0)+vlookup(A39,importrange(""https://docs.google.com/spreadsheets/d/1arpJoJSlKHkJ-Zn4sJxqp3okt8tUTIYCnkob2xnYiCU/edit?usp=sharing"",""Mar 2026!$A:$AP""),41,0)+vlookup(A39,importrange(""https://docs.goo"&amp;"gle.com/spreadsheets/d/1arpJoJSlKHkJ-Zn4sJxqp3okt8tUTIYCnkob2xnYiCU/edit?usp=sharing"",""Current Month!$A:$AP""),41,0)"),1)</f>
        <v>1</v>
      </c>
      <c r="K35" s="9">
        <f ca="1">IFERROR(__xludf.DUMMYFUNCTION("J39/((vlookup(A39,importrange(""https://docs.google.com/spreadsheets/d/1arpJoJSlKHkJ-Zn4sJxqp3okt8tUTIYCnkob2xnYiCU/edit?usp=sharing"",""Jan 2026!$A:$AG""),33,0))+(vlookup(A39,importrange(""https://docs.google.com/spreadsheets/d/1arpJoJSlKHkJ-Zn4sJxqp3okt"&amp;"8tUTIYCnkob2xnYiCU/edit?usp=sharing"",""Feb 2026!$A:$AG""),33,0))+(vlookup(A39,importrange(""https://docs.google.com/spreadsheets/d/1arpJoJSlKHkJ-Zn4sJxqp3okt8tUTIYCnkob2xnYiCU/edit?usp=sharing"",""Mar 2026!$A:$AG""),33,0))+(vlookup(A39,importrange(""http"&amp;"s://docs.google.com/spreadsheets/d/1arpJoJSlKHkJ-Zn4sJxqp3okt8tUTIYCnkob2xnYiCU/edit?usp=sharing"",""Apr 2026!$A:$AG""),33,0))+(vlookup(A39,importrange(""https://docs.google.com/spreadsheets/d/1arpJoJSlKHkJ-Zn4sJxqp3okt8tUTIYCnkob2xnYiCU/edit?usp=sharing"&amp;""",""Current Month!$A:$AG""),33,0)))"),0.0113636363636363)</f>
        <v>1.13636363636363E-2</v>
      </c>
      <c r="L35" s="7">
        <f ca="1">IFERROR(__xludf.DUMMYFUNCTION("vlookup(A39,importrange(""https://docs.google.com/spreadsheets/d/1arpJoJSlKHkJ-Zn4sJxqp3okt8tUTIYCnkob2xnYiCU/edit?usp=sharing"",""Current Month!$A:$AP""),42,0)+vlookup(A39,importrange(""https://docs.google.com/spreadsheets/d/1arpJoJSlKHkJ-Zn4sJxqp3okt8tU"&amp;"TIYCnkob2xnYiCU/edit?usp=sharing"",""Jan 2026!$A:$AP""),42,0)+vlookup(A39,importrange(""https://docs.google.com/spreadsheets/d/1arpJoJSlKHkJ-Zn4sJxqp3okt8tUTIYCnkob2xnYiCU/edit?usp=sharing"",""Feb 2026!$A:$AP""),42,0)+vlookup(A39,importrange(""https://doc"&amp;"s.google.com/spreadsheets/d/1arpJoJSlKHkJ-Zn4sJxqp3okt8tUTIYCnkob2xnYiCU/edit?usp=sharing"",""Mar 2026!$A:$AP""),42,0)+vlookup(A39,importrange(""https://docs.google.com/spreadsheets/d/1arpJoJSlKHkJ-Zn4sJxqp3okt8tUTIYCnkob2xnYiCU/edit?usp=sharing"",""Apr 2"&amp;"026!$A:$AP""),42,0)"),1)</f>
        <v>1</v>
      </c>
    </row>
    <row r="36" spans="1:12" ht="15.75" customHeight="1" x14ac:dyDescent="0.35">
      <c r="A36" s="6" t="s">
        <v>45</v>
      </c>
      <c r="B36" s="7">
        <f ca="1">IFERROR(__xludf.DUMMYFUNCTION("vlookup(A40,importrange(""https://docs.google.com/spreadsheets/d/1arpJoJSlKHkJ-Zn4sJxqp3okt8tUTIYCnkob2xnYiCU/edit?usp=sharing"",""Mar 2026!$A:$AH""),34,0)+vlookup(A40,importrange(""https://docs.google.com/spreadsheets/d/1arpJoJSlKHkJ-Zn4sJxqp3okt8tUTIYCn"&amp;"kob2xnYiCU/edit?usp=sharing"",""Apr 2026!$A:$AH""),34,0)+vlookup(A40,importrange(""https://docs.google.com/spreadsheets/d/1arpJoJSlKHkJ-Zn4sJxqp3okt8tUTIYCnkob2xnYiCU/edit?usp=sharing"",""May 2026!$A:$AH""),34,0)+vlookup(A40,importrange(""https://docs.goo"&amp;"gle.com/spreadsheets/d/1arpJoJSlKHkJ-Zn4sJxqp3okt8tUTIYCnkob2xnYiCU/edit?usp=sharing"",""June 2026!$A:$AH""),34,0)+vlookup(A40,importrange(""https://docs.google.com/spreadsheets/d/1arpJoJSlKHkJ-Zn4sJxqp3okt8tUTIYCnkob2xnYiCU/edit?usp=sharing"",""Current M"&amp;"onth!$A:$AH""),34,0)"),0)</f>
        <v>0</v>
      </c>
      <c r="C36" s="7">
        <f ca="1">IFERROR(__xludf.DUMMYFUNCTION("vlookup(A40,importrange(""https://docs.google.com/spreadsheets/d/1arpJoJSlKHkJ-Zn4sJxqp3okt8tUTIYCnkob2xnYiCU/edit?usp=sharing"",""Mar 2026!$A:$AI""),35,0)+vlookup(A40,importrange(""https://docs.google.com/spreadsheets/d/1arpJoJSlKHkJ-Zn4sJxqp3okt8tUTIYCn"&amp;"kob2xnYiCU/edit?usp=sharing"",""Apr 2026!$A:$AI""),35,0)+vlookup(A40,importrange(""https://docs.google.com/spreadsheets/d/1arpJoJSlKHkJ-Zn4sJxqp3okt8tUTIYCnkob2xnYiCU/edit?usp=sharing"",""May 2026!$A:$AI""),35,0)+vlookup(A40,importrange(""https://docs.goo"&amp;"gle.com/spreadsheets/d/1arpJoJSlKHkJ-Zn4sJxqp3okt8tUTIYCnkob2xnYiCU/edit?usp=sharing"",""June 2026!$A:$AI""),35,0)+vlookup(A40,importrange(""https://docs.google.com/spreadsheets/d/1arpJoJSlKHkJ-Zn4sJxqp3okt8tUTIYCnkob2xnYiCU/edit?usp=sharing"",""Current M"&amp;"onth!$A:$AI""),35,0)"),1)</f>
        <v>1</v>
      </c>
      <c r="D36" s="7">
        <f ca="1">IFERROR(__xludf.DUMMYFUNCTION("vlookup(A40,importrange(""https://docs.google.com/spreadsheets/d/1arpJoJSlKHkJ-Zn4sJxqp3okt8tUTIYCnkob2xnYiCU/edit?usp=sharing"",""Mar 2026!$A:$AJ""),36,0)+vlookup(A40,importrange(""https://docs.google.com/spreadsheets/d/1arpJoJSlKHkJ-Zn4sJxqp3okt8tUTIYCn"&amp;"kob2xnYiCU/edit?usp=sharing"",""Apr 2026!$A:$AJ""),36,0)+vlookup(A40,importrange(""https://docs.google.com/spreadsheets/d/1arpJoJSlKHkJ-Zn4sJxqp3okt8tUTIYCnkob2xnYiCU/edit?usp=sharing"",""May 2026!$A:$AJ""),36,0)+vlookup(A40,importrange(""https://docs.goo"&amp;"gle.com/spreadsheets/d/1arpJoJSlKHkJ-Zn4sJxqp3okt8tUTIYCnkob2xnYiCU/edit?usp=sharing"",""June 2026!$A:$AJ""),36,0)+vlookup(A40,importrange(""https://docs.google.com/spreadsheets/d/1arpJoJSlKHkJ-Zn4sJxqp3okt8tUTIYCnkob2xnYiCU/edit?usp=sharing"",""Current M"&amp;"onth!$A:$AJ""),36,0)"),2)</f>
        <v>2</v>
      </c>
      <c r="E36" s="7">
        <f ca="1">IFERROR(__xludf.DUMMYFUNCTION("vlookup(A40,importrange(""https://docs.google.com/spreadsheets/d/1arpJoJSlKHkJ-Zn4sJxqp3okt8tUTIYCnkob2xnYiCU/edit?usp=sharing"",""Mar 2026!$A:$AK""),37,0)+vlookup(A40,importrange(""https://docs.google.com/spreadsheets/d/1arpJoJSlKHkJ-Zn4sJxqp3okt8tUTIYCn"&amp;"kob2xnYiCU/edit?usp=sharing"",""Apr 2026!$A:$AK""),37,0)+vlookup(A40,importrange(""https://docs.google.com/spreadsheets/d/1arpJoJSlKHkJ-Zn4sJxqp3okt8tUTIYCnkob2xnYiCU/edit?usp=sharing"",""May 2026!$A:$AK""),37,0)+vlookup(A40,importrange(""https://docs.goo"&amp;"gle.com/spreadsheets/d/1arpJoJSlKHkJ-Zn4sJxqp3okt8tUTIYCnkob2xnYiCU/edit?usp=sharing"",""June 2026!$A:$AK""),37,0)+vlookup(A40,importrange(""https://docs.google.com/spreadsheets/d/1arpJoJSlKHkJ-Zn4sJxqp3okt8tUTIYCnkob2xnYiCU/edit?usp=sharing"",""Current M"&amp;"onth!$A:$AK""),37,0)"),0)</f>
        <v>0</v>
      </c>
      <c r="F36" s="7">
        <f t="shared" ca="1" si="0"/>
        <v>3</v>
      </c>
      <c r="G36" s="7">
        <f ca="1">IFERROR(__xludf.DUMMYFUNCTION("vlookup(A40,importrange(""https://docs.google.com/spreadsheets/d/1arpJoJSlKHkJ-Zn4sJxqp3okt8tUTIYCnkob2xnYiCU/edit?usp=sharing"",""Mar 2026!$A:$AN""),40,0)+vlookup(A40,importrange(""https://docs.google.com/spreadsheets/d/1arpJoJSlKHkJ-Zn4sJxqp3okt8tUTIYCn"&amp;"kob2xnYiCU/edit?usp=sharing"",""Apr 2026!$A:$AN""),40,0)+vlookup(A40,importrange(""https://docs.google.com/spreadsheets/d/1arpJoJSlKHkJ-Zn4sJxqp3okt8tUTIYCnkob2xnYiCU/edit?usp=sharing"",""May 2026!$A:$AN""),40,0)+vlookup(A40,importrange(""https://docs.goo"&amp;"gle.com/spreadsheets/d/1arpJoJSlKHkJ-Zn4sJxqp3okt8tUTIYCnkob2xnYiCU/edit?usp=sharing"",""June 2026!$A:$AN""),40,0)+vlookup(A40,importrange(""https://docs.google.com/spreadsheets/d/1arpJoJSlKHkJ-Zn4sJxqp3okt8tUTIYCnkob2xnYiCU/edit?usp=sharing"",""Current M"&amp;"onth!$A:$AN""),40,0)"),1)</f>
        <v>1</v>
      </c>
      <c r="H36" s="11">
        <v>10</v>
      </c>
      <c r="I36" s="8">
        <f t="shared" ca="1" si="1"/>
        <v>17</v>
      </c>
      <c r="J36" s="7">
        <f ca="1">IFERROR(__xludf.DUMMYFUNCTION("vlookup(A40,importrange(""https://docs.google.com/spreadsheets/d/1arpJoJSlKHkJ-Zn4sJxqp3okt8tUTIYCnkob2xnYiCU/edit?usp=sharing"",""Mar 2026!$A:$AP""),41,0)+vlookup(A40,importrange(""https://docs.google.com/spreadsheets/d/1arpJoJSlKHkJ-Zn4sJxqp3okt8tUTIYCn"&amp;"kob2xnYiCU/edit?usp=sharing"",""Current Month!$A:$AP""),41,0)"),0)</f>
        <v>0</v>
      </c>
      <c r="K36" s="9">
        <f ca="1">IFERROR(__xludf.DUMMYFUNCTION("J40/((vlookup(A40,importrange(""https://docs.google.com/spreadsheets/d/1arpJoJSlKHkJ-Zn4sJxqp3okt8tUTIYCnkob2xnYiCU/edit?usp=sharing"",""Mar 2026!$A:$AG""),33,0))+(vlookup(A40,importrange(""https://docs.google.com/spreadsheets/d/1arpJoJSlKHkJ-Zn4sJxqp3okt"&amp;"8tUTIYCnkob2xnYiCU/edit?usp=sharing"",""Current Month!$A:$AG""),33,0)))"),0)</f>
        <v>0</v>
      </c>
      <c r="L36" s="7">
        <f ca="1">IFERROR(__xludf.DUMMYFUNCTION("vlookup(A40,importrange(""https://docs.google.com/spreadsheets/d/1arpJoJSlKHkJ-Zn4sJxqp3okt8tUTIYCnkob2xnYiCU/edit?usp=sharing"",""Current Month!$A:$AP""),42,0)+vlookup(A40,importrange(""https://docs.google.com/spreadsheets/d/1arpJoJSlKHkJ-Zn4sJxqp3okt8tU"&amp;"TIYCnkob2xnYiCU/edit?usp=sharing"",""Mar 2026!$A:$AP""),42,0)"),3)</f>
        <v>3</v>
      </c>
    </row>
    <row r="37" spans="1:12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</row>
    <row r="38" spans="1:12" ht="15.7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3"/>
      <c r="K38" s="14"/>
      <c r="L38" s="13"/>
    </row>
    <row r="39" spans="1:12" ht="14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5.75" customHeight="1" x14ac:dyDescent="0.35">
      <c r="A40" s="16"/>
      <c r="B40" s="17"/>
      <c r="C40" s="17"/>
      <c r="D40" s="17"/>
      <c r="E40" s="17"/>
      <c r="F40" s="17"/>
      <c r="G40" s="17"/>
      <c r="H40" s="17"/>
      <c r="I40" s="18"/>
      <c r="J40" s="17"/>
      <c r="K40" s="2"/>
      <c r="L40" s="17"/>
    </row>
    <row r="41" spans="1:12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2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2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</row>
    <row r="44" spans="1:12" ht="15.75" customHeight="1" x14ac:dyDescent="0.35">
      <c r="A44" s="19" t="s">
        <v>0</v>
      </c>
      <c r="B44" s="19" t="s">
        <v>1</v>
      </c>
      <c r="C44" s="19" t="s">
        <v>2</v>
      </c>
      <c r="D44" s="19" t="s">
        <v>3</v>
      </c>
      <c r="E44" s="19" t="s">
        <v>4</v>
      </c>
      <c r="F44" s="19" t="s">
        <v>5</v>
      </c>
      <c r="G44" s="19" t="s">
        <v>6</v>
      </c>
      <c r="H44" s="19" t="s">
        <v>8</v>
      </c>
      <c r="I44" s="19" t="s">
        <v>9</v>
      </c>
      <c r="J44" s="19" t="s">
        <v>11</v>
      </c>
      <c r="K44" s="2"/>
    </row>
    <row r="45" spans="1:12" ht="15.75" customHeight="1" x14ac:dyDescent="0.35">
      <c r="A45" s="11" t="s">
        <v>40</v>
      </c>
      <c r="B45" s="20">
        <v>5</v>
      </c>
      <c r="C45" s="20">
        <v>11.5</v>
      </c>
      <c r="D45" s="20">
        <v>0</v>
      </c>
      <c r="E45" s="20">
        <v>0</v>
      </c>
      <c r="F45" s="20">
        <v>0</v>
      </c>
      <c r="G45" s="20">
        <v>4</v>
      </c>
      <c r="H45" s="20">
        <v>4.5</v>
      </c>
      <c r="I45" s="20">
        <v>16</v>
      </c>
      <c r="J45" s="20">
        <v>1</v>
      </c>
      <c r="K45" s="2"/>
    </row>
    <row r="46" spans="1:12" ht="15.75" customHeight="1" x14ac:dyDescent="0.35">
      <c r="A46" s="21"/>
      <c r="B46" s="1"/>
      <c r="C46" s="1"/>
      <c r="D46" s="1"/>
      <c r="E46" s="1"/>
      <c r="F46" s="1"/>
      <c r="G46" s="1"/>
      <c r="H46" s="1"/>
      <c r="I46" s="1"/>
      <c r="J46" s="1"/>
      <c r="K46" s="2"/>
    </row>
    <row r="47" spans="1:12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</row>
    <row r="48" spans="1:12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</row>
    <row r="49" spans="1:11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</row>
    <row r="50" spans="1:11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</row>
    <row r="51" spans="1:11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</row>
    <row r="52" spans="1:11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</row>
    <row r="53" spans="1:11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</row>
    <row r="54" spans="1:11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</row>
    <row r="55" spans="1:11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</row>
    <row r="56" spans="1:11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</row>
    <row r="57" spans="1:11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</row>
    <row r="58" spans="1:11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</row>
    <row r="59" spans="1:11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</row>
    <row r="60" spans="1:11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</row>
    <row r="61" spans="1:11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</row>
    <row r="62" spans="1:11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</row>
    <row r="63" spans="1:11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</row>
    <row r="64" spans="1:11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</row>
    <row r="65" spans="1:11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</row>
    <row r="66" spans="1:11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</row>
    <row r="67" spans="1:11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</row>
    <row r="68" spans="1:11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</row>
    <row r="69" spans="1:11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</row>
    <row r="70" spans="1:11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</row>
    <row r="71" spans="1:11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</row>
    <row r="72" spans="1:11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</row>
    <row r="73" spans="1:11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</row>
    <row r="74" spans="1:11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</row>
    <row r="75" spans="1:11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</row>
    <row r="76" spans="1:11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</row>
    <row r="77" spans="1:11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</row>
    <row r="78" spans="1:11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</row>
    <row r="79" spans="1:11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</row>
    <row r="80" spans="1:11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</row>
    <row r="81" spans="1:11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</row>
    <row r="82" spans="1:11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</row>
    <row r="83" spans="1:11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</row>
    <row r="84" spans="1:11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</row>
    <row r="85" spans="1:11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</row>
    <row r="86" spans="1:11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</row>
    <row r="87" spans="1:11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</row>
    <row r="88" spans="1:11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</row>
    <row r="89" spans="1:11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</row>
    <row r="90" spans="1:11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</row>
    <row r="91" spans="1:11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</row>
    <row r="92" spans="1:11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</row>
    <row r="93" spans="1:11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</row>
    <row r="94" spans="1:11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</row>
    <row r="95" spans="1:11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</row>
    <row r="96" spans="1:11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</row>
    <row r="97" spans="1:11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</row>
    <row r="98" spans="1:11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</row>
    <row r="99" spans="1:11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</row>
    <row r="100" spans="1:11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</row>
    <row r="101" spans="1:11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</row>
    <row r="102" spans="1:11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</row>
    <row r="103" spans="1:11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</row>
    <row r="104" spans="1:11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</row>
    <row r="105" spans="1:11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</row>
    <row r="106" spans="1:11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</row>
    <row r="107" spans="1:11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</row>
    <row r="108" spans="1:11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</row>
    <row r="109" spans="1:11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</row>
    <row r="110" spans="1:11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</row>
    <row r="111" spans="1:11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</row>
    <row r="112" spans="1:11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</row>
    <row r="113" spans="1:11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</row>
    <row r="114" spans="1:11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</row>
    <row r="115" spans="1:11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</row>
    <row r="116" spans="1:11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</row>
    <row r="117" spans="1:11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</row>
    <row r="118" spans="1:11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</row>
    <row r="119" spans="1:11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</row>
    <row r="120" spans="1:11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</row>
    <row r="121" spans="1:11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</row>
    <row r="122" spans="1:11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</row>
    <row r="123" spans="1:11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</row>
    <row r="124" spans="1:11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</row>
    <row r="125" spans="1:11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</row>
    <row r="126" spans="1:11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</row>
    <row r="127" spans="1:11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</row>
    <row r="128" spans="1:11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</row>
    <row r="129" spans="1:11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</row>
    <row r="130" spans="1:11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</row>
    <row r="131" spans="1:11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</row>
    <row r="132" spans="1:11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</row>
    <row r="133" spans="1:11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</row>
    <row r="134" spans="1:11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</row>
    <row r="135" spans="1:11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</row>
    <row r="136" spans="1:11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</row>
    <row r="137" spans="1:11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</row>
    <row r="138" spans="1:11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</row>
    <row r="139" spans="1:11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</row>
    <row r="140" spans="1:11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</row>
    <row r="141" spans="1:11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</row>
    <row r="142" spans="1:11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</row>
    <row r="143" spans="1:11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</row>
    <row r="144" spans="1:11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</row>
    <row r="145" spans="1:11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</row>
    <row r="146" spans="1:11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</row>
    <row r="147" spans="1:11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</row>
    <row r="148" spans="1:11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</row>
    <row r="149" spans="1:11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</row>
    <row r="150" spans="1:11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</row>
    <row r="151" spans="1:11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</row>
    <row r="152" spans="1:11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</row>
    <row r="153" spans="1:11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</row>
    <row r="154" spans="1:11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</row>
    <row r="155" spans="1:11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</row>
    <row r="156" spans="1:11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</row>
    <row r="157" spans="1:11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</row>
    <row r="158" spans="1:11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</row>
    <row r="159" spans="1:11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</row>
    <row r="160" spans="1:11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</row>
    <row r="161" spans="1:11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</row>
    <row r="162" spans="1:11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</row>
    <row r="163" spans="1:11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</row>
    <row r="164" spans="1:11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</row>
    <row r="165" spans="1:11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</row>
    <row r="166" spans="1:11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</row>
    <row r="167" spans="1:11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</row>
    <row r="168" spans="1:11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</row>
    <row r="169" spans="1:11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</row>
    <row r="170" spans="1:11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</row>
    <row r="171" spans="1:11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</row>
    <row r="172" spans="1:11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</row>
    <row r="173" spans="1:11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</row>
    <row r="174" spans="1:11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</row>
    <row r="175" spans="1:11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</row>
    <row r="176" spans="1:11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</row>
    <row r="177" spans="1:11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</row>
    <row r="178" spans="1:11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</row>
    <row r="179" spans="1:11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</row>
    <row r="180" spans="1:11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</row>
    <row r="181" spans="1:11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</sheetData>
  <conditionalFormatting sqref="I3:I36 I40">
    <cfRule type="colorScale" priority="1">
      <colorScale>
        <cfvo type="formula" val="0"/>
        <cfvo type="formula" val="10"/>
        <cfvo type="formula" val="21"/>
        <color rgb="FFC00000"/>
        <color rgb="FFFFC000"/>
        <color rgb="FF63BE7B"/>
      </colorScale>
    </cfRule>
    <cfRule type="cellIs" dxfId="0" priority="2" operator="lessThanOrEqual">
      <formula>7</formula>
    </cfRule>
  </conditionalFormatting>
  <conditionalFormatting sqref="K3:K36 K40">
    <cfRule type="colorScale" priority="3">
      <colorScale>
        <cfvo type="percent" val="15"/>
        <cfvo type="percent" val="45"/>
        <cfvo type="percent" val="100"/>
        <color rgb="FFFFFFFF"/>
        <color rgb="FFABDDC5"/>
        <color rgb="FFCC4125"/>
      </colorScale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E19"/>
  <sheetViews>
    <sheetView workbookViewId="0"/>
  </sheetViews>
  <sheetFormatPr defaultColWidth="14.453125" defaultRowHeight="15" customHeight="1" x14ac:dyDescent="0.35"/>
  <cols>
    <col min="2" max="2" width="29.453125" customWidth="1"/>
  </cols>
  <sheetData>
    <row r="2" spans="2:5" x14ac:dyDescent="0.35">
      <c r="B2" s="25" t="s">
        <v>46</v>
      </c>
      <c r="C2" s="26"/>
      <c r="D2" s="27"/>
      <c r="E2" s="22"/>
    </row>
    <row r="3" spans="2:5" x14ac:dyDescent="0.35">
      <c r="B3" s="23" t="s">
        <v>47</v>
      </c>
      <c r="C3" s="24">
        <v>46023</v>
      </c>
      <c r="D3" s="23" t="s">
        <v>48</v>
      </c>
      <c r="E3" s="23" t="str">
        <f t="shared" ref="E3:E10" si="0">TEXT(C3,"DDDD")</f>
        <v>Thursday</v>
      </c>
    </row>
    <row r="4" spans="2:5" x14ac:dyDescent="0.35">
      <c r="B4" s="23" t="s">
        <v>49</v>
      </c>
      <c r="C4" s="24">
        <v>46048</v>
      </c>
      <c r="D4" s="23" t="s">
        <v>50</v>
      </c>
      <c r="E4" s="23" t="str">
        <f t="shared" si="0"/>
        <v>Monday</v>
      </c>
    </row>
    <row r="5" spans="2:5" x14ac:dyDescent="0.35">
      <c r="B5" s="23" t="s">
        <v>51</v>
      </c>
      <c r="C5" s="24">
        <v>46084</v>
      </c>
      <c r="D5" s="23" t="s">
        <v>50</v>
      </c>
      <c r="E5" s="23" t="str">
        <f t="shared" si="0"/>
        <v>Tuesday</v>
      </c>
    </row>
    <row r="6" spans="2:5" x14ac:dyDescent="0.35">
      <c r="B6" s="23" t="s">
        <v>52</v>
      </c>
      <c r="C6" s="24">
        <v>46100</v>
      </c>
      <c r="D6" s="23" t="s">
        <v>48</v>
      </c>
      <c r="E6" s="23" t="str">
        <f t="shared" si="0"/>
        <v>Thursday</v>
      </c>
    </row>
    <row r="7" spans="2:5" x14ac:dyDescent="0.35">
      <c r="B7" s="23" t="s">
        <v>53</v>
      </c>
      <c r="C7" s="24">
        <v>46107</v>
      </c>
      <c r="D7" s="23" t="s">
        <v>48</v>
      </c>
      <c r="E7" s="23" t="str">
        <f t="shared" si="0"/>
        <v>Thursday</v>
      </c>
    </row>
    <row r="8" spans="2:5" x14ac:dyDescent="0.35">
      <c r="B8" s="23" t="s">
        <v>54</v>
      </c>
      <c r="C8" s="24">
        <v>46115</v>
      </c>
      <c r="D8" s="23" t="s">
        <v>48</v>
      </c>
      <c r="E8" s="23" t="str">
        <f t="shared" si="0"/>
        <v>Friday</v>
      </c>
    </row>
    <row r="9" spans="2:5" x14ac:dyDescent="0.35">
      <c r="B9" s="23" t="s">
        <v>55</v>
      </c>
      <c r="C9" s="24">
        <v>46126</v>
      </c>
      <c r="D9" s="23" t="s">
        <v>48</v>
      </c>
      <c r="E9" s="23" t="str">
        <f t="shared" si="0"/>
        <v>Tuesday</v>
      </c>
    </row>
    <row r="10" spans="2:5" x14ac:dyDescent="0.35">
      <c r="B10" s="23" t="s">
        <v>56</v>
      </c>
      <c r="C10" s="24">
        <v>46143</v>
      </c>
      <c r="D10" s="23" t="s">
        <v>50</v>
      </c>
      <c r="E10" s="23" t="str">
        <f t="shared" si="0"/>
        <v>Friday</v>
      </c>
    </row>
    <row r="11" spans="2:5" x14ac:dyDescent="0.35">
      <c r="B11" s="23" t="s">
        <v>57</v>
      </c>
      <c r="C11" s="24">
        <v>46170</v>
      </c>
      <c r="D11" s="23" t="s">
        <v>48</v>
      </c>
      <c r="E11" s="23" t="s">
        <v>58</v>
      </c>
    </row>
    <row r="12" spans="2:5" x14ac:dyDescent="0.35">
      <c r="B12" s="23" t="s">
        <v>59</v>
      </c>
      <c r="C12" s="24">
        <v>46249</v>
      </c>
      <c r="D12" s="23" t="s">
        <v>50</v>
      </c>
      <c r="E12" s="23" t="str">
        <f t="shared" ref="E12:E15" si="1">TEXT(C12,"DDDD")</f>
        <v>Saturday</v>
      </c>
    </row>
    <row r="13" spans="2:5" x14ac:dyDescent="0.35">
      <c r="B13" s="23" t="s">
        <v>60</v>
      </c>
      <c r="C13" s="24">
        <v>46260</v>
      </c>
      <c r="D13" s="23" t="s">
        <v>48</v>
      </c>
      <c r="E13" s="23" t="str">
        <f t="shared" si="1"/>
        <v>Wednesday</v>
      </c>
    </row>
    <row r="14" spans="2:5" x14ac:dyDescent="0.35">
      <c r="B14" s="23" t="s">
        <v>61</v>
      </c>
      <c r="C14" s="24">
        <v>46279</v>
      </c>
      <c r="D14" s="23" t="s">
        <v>48</v>
      </c>
      <c r="E14" s="23" t="str">
        <f t="shared" si="1"/>
        <v>Monday</v>
      </c>
    </row>
    <row r="15" spans="2:5" x14ac:dyDescent="0.35">
      <c r="B15" s="23" t="s">
        <v>62</v>
      </c>
      <c r="C15" s="24">
        <v>46297</v>
      </c>
      <c r="D15" s="23" t="s">
        <v>50</v>
      </c>
      <c r="E15" s="23" t="str">
        <f t="shared" si="1"/>
        <v>Friday</v>
      </c>
    </row>
    <row r="16" spans="2:5" x14ac:dyDescent="0.35">
      <c r="B16" s="23" t="s">
        <v>63</v>
      </c>
      <c r="C16" s="24">
        <v>46315</v>
      </c>
      <c r="D16" s="23" t="s">
        <v>50</v>
      </c>
      <c r="E16" s="23" t="s">
        <v>64</v>
      </c>
    </row>
    <row r="17" spans="2:5" x14ac:dyDescent="0.35">
      <c r="B17" s="23" t="s">
        <v>65</v>
      </c>
      <c r="C17" s="24">
        <v>46336</v>
      </c>
      <c r="D17" s="23" t="s">
        <v>50</v>
      </c>
      <c r="E17" s="23" t="str">
        <f t="shared" ref="E17:E19" si="2">TEXT(C17,"DDDD")</f>
        <v>Tuesday</v>
      </c>
    </row>
    <row r="18" spans="2:5" x14ac:dyDescent="0.35">
      <c r="B18" s="23" t="s">
        <v>66</v>
      </c>
      <c r="C18" s="24">
        <v>46350</v>
      </c>
      <c r="D18" s="23" t="s">
        <v>48</v>
      </c>
      <c r="E18" s="23" t="str">
        <f t="shared" si="2"/>
        <v>Tuesday</v>
      </c>
    </row>
    <row r="19" spans="2:5" x14ac:dyDescent="0.35">
      <c r="B19" s="23" t="s">
        <v>67</v>
      </c>
      <c r="C19" s="24">
        <v>46381</v>
      </c>
      <c r="D19" s="23" t="s">
        <v>50</v>
      </c>
      <c r="E19" s="23" t="str">
        <f t="shared" si="2"/>
        <v>Friday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Holiday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Namrata Pandhi</cp:lastModifiedBy>
  <dcterms:modified xsi:type="dcterms:W3CDTF">2026-07-22T12:55:03Z</dcterms:modified>
</cp:coreProperties>
</file>