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Holiday List" sheetId="2" r:id="rId6"/>
  </sheets>
  <definedNames/>
  <calcPr/>
</workbook>
</file>

<file path=xl/sharedStrings.xml><?xml version="1.0" encoding="utf-8"?>
<sst xmlns="http://schemas.openxmlformats.org/spreadsheetml/2006/main" count="98" uniqueCount="72">
  <si>
    <t>Name</t>
  </si>
  <si>
    <t>Approved Leaves</t>
  </si>
  <si>
    <t>Unscheduled Leaves</t>
  </si>
  <si>
    <t>Loss of Pay LOP</t>
  </si>
  <si>
    <t>Worked on MH</t>
  </si>
  <si>
    <t>Available OH</t>
  </si>
  <si>
    <t>Availed OH</t>
  </si>
  <si>
    <t>Months in the System</t>
  </si>
  <si>
    <t>Pending Leaves</t>
  </si>
  <si>
    <t>Late Login</t>
  </si>
  <si>
    <t>Late Login %</t>
  </si>
  <si>
    <t>WFH</t>
  </si>
  <si>
    <t>Neelabh Sanyal</t>
  </si>
  <si>
    <t>Yogesh Parulekar</t>
  </si>
  <si>
    <t>Vishal Parab</t>
  </si>
  <si>
    <t>Yash Bhatia</t>
  </si>
  <si>
    <t>Yogini Parmar</t>
  </si>
  <si>
    <t>Rutuja Lad</t>
  </si>
  <si>
    <t>Vinamra More</t>
  </si>
  <si>
    <t>Ritika Singh</t>
  </si>
  <si>
    <t>Shivam Nag</t>
  </si>
  <si>
    <t>Ashish Baral</t>
  </si>
  <si>
    <t>Aparna More</t>
  </si>
  <si>
    <t>Mayuri Patkar</t>
  </si>
  <si>
    <t>Pradeep Naidu</t>
  </si>
  <si>
    <t>Divija Sane</t>
  </si>
  <si>
    <t>Muskan Khan</t>
  </si>
  <si>
    <t>Ikshita Munj</t>
  </si>
  <si>
    <t>Vaishnavi Dongare</t>
  </si>
  <si>
    <t>Ayush Sakpal</t>
  </si>
  <si>
    <t>Aniket Gaste</t>
  </si>
  <si>
    <t>MD Shahnawaz</t>
  </si>
  <si>
    <t>Vishal Gohel</t>
  </si>
  <si>
    <t>Aditya Sharma</t>
  </si>
  <si>
    <t>Abhishek Bhadra</t>
  </si>
  <si>
    <t>Kajaldevi Yadav</t>
  </si>
  <si>
    <t>Chaitali Thanekar</t>
  </si>
  <si>
    <t>Arnab Datta</t>
  </si>
  <si>
    <t>Akshay Tambe</t>
  </si>
  <si>
    <t>Sneha Agarwal</t>
  </si>
  <si>
    <t>Ganesh Devkamble</t>
  </si>
  <si>
    <t>Shamith Sanil</t>
  </si>
  <si>
    <t>Yash Pitale</t>
  </si>
  <si>
    <t>Jairaj Bhosale</t>
  </si>
  <si>
    <t>Priyanka Mane</t>
  </si>
  <si>
    <t>Mohammed Waquar Vasta</t>
  </si>
  <si>
    <t>Roshan Lokhande</t>
  </si>
  <si>
    <t>Namrata Pandhi</t>
  </si>
  <si>
    <t>Basudam Dhara</t>
  </si>
  <si>
    <t>Vipul Srivastava</t>
  </si>
  <si>
    <t>Holidays</t>
  </si>
  <si>
    <t>New Year's Day</t>
  </si>
  <si>
    <t>OH</t>
  </si>
  <si>
    <t>Republic Day</t>
  </si>
  <si>
    <t>MH</t>
  </si>
  <si>
    <t>Holi</t>
  </si>
  <si>
    <t>Gudhi Padwa / Ugadi</t>
  </si>
  <si>
    <t>Shri Ram Navami</t>
  </si>
  <si>
    <t>Good Friday</t>
  </si>
  <si>
    <t>Dr. Baba Saheb Ambedkar Jayanti</t>
  </si>
  <si>
    <t>Maharashtra Day</t>
  </si>
  <si>
    <t>Eid Ul-Adha</t>
  </si>
  <si>
    <t>Thursday</t>
  </si>
  <si>
    <t>Independence Day</t>
  </si>
  <si>
    <t>Onam/Id-E-Milad</t>
  </si>
  <si>
    <t>Ganesh Chaturthi</t>
  </si>
  <si>
    <t>MahatmaGandhi Jayanti</t>
  </si>
  <si>
    <t>Dussehra</t>
  </si>
  <si>
    <t>Tuesday</t>
  </si>
  <si>
    <t>Diwali</t>
  </si>
  <si>
    <t>Guru Nanak Jayanti</t>
  </si>
  <si>
    <t>Christmas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</si>
</sst>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-mmm-yy"/>
  </numFmts>
  <fonts count="11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11.0"/>
      <color rgb="FF000000"/>
      <name val="Calibri"/>
    </font>
    <font>
      <b/>
      <color theme="1"/>
      <name val="Calibri"/>
      <scheme val="minor"/>
    </font>
    <font>
      <b/>
      <color rgb="FF222222"/>
      <name val="Arial"/>
    </font>
    <font>
      <color rgb="FF222222"/>
      <name val="Arial"/>
    </font>
    <font/>
    <font>
      <color theme="1"/>
      <name val="Arial"/>
    </font>
    <font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1" fillId="0" fontId="3" numFmtId="164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/>
    </xf>
    <xf borderId="1" fillId="2" fontId="1" numFmtId="0" xfId="0" applyAlignment="1" applyBorder="1" applyFill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0" fillId="0" fontId="3" numFmtId="164" xfId="0" applyAlignment="1" applyFont="1" applyNumberFormat="1">
      <alignment horizontal="center"/>
    </xf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1" fillId="3" fontId="6" numFmtId="0" xfId="0" applyAlignment="1" applyBorder="1" applyFill="1" applyFont="1">
      <alignment horizontal="center" readingOrder="0" vertical="bottom"/>
    </xf>
    <xf borderId="1" fillId="3" fontId="7" numFmtId="0" xfId="0" applyAlignment="1" applyBorder="1" applyFont="1">
      <alignment horizontal="center" vertical="bottom"/>
    </xf>
    <xf borderId="1" fillId="3" fontId="7" numFmtId="0" xfId="0" applyAlignment="1" applyBorder="1" applyFont="1">
      <alignment horizontal="center" readingOrder="0" vertical="bottom"/>
    </xf>
    <xf borderId="0" fillId="3" fontId="7" numFmtId="0" xfId="0" applyFont="1"/>
    <xf borderId="2" fillId="0" fontId="2" numFmtId="0" xfId="0" applyAlignment="1" applyBorder="1" applyFont="1">
      <alignment horizontal="center" vertical="bottom"/>
    </xf>
    <xf borderId="3" fillId="0" fontId="8" numFmtId="0" xfId="0" applyBorder="1" applyFont="1"/>
    <xf borderId="4" fillId="0" fontId="8" numFmtId="0" xfId="0" applyBorder="1" applyFont="1"/>
    <xf borderId="1" fillId="0" fontId="9" numFmtId="0" xfId="0" applyAlignment="1" applyBorder="1" applyFont="1">
      <alignment vertical="bottom"/>
    </xf>
    <xf borderId="1" fillId="3" fontId="10" numFmtId="0" xfId="0" applyAlignment="1" applyBorder="1" applyFont="1">
      <alignment vertical="top"/>
    </xf>
    <xf borderId="1" fillId="3" fontId="10" numFmtId="165" xfId="0" applyAlignment="1" applyBorder="1" applyFont="1" applyNumberFormat="1">
      <alignment horizontal="center" vertical="bottom"/>
    </xf>
    <xf borderId="1" fillId="3" fontId="10" numFmtId="0" xfId="0" applyAlignment="1" applyBorder="1" applyFont="1">
      <alignment readingOrder="0" vertical="top"/>
    </xf>
  </cellXfs>
  <cellStyles count="1">
    <cellStyle xfId="0" name="Normal" builtinId="0"/>
  </cellStyles>
  <dxfs count="1">
    <dxf>
      <font>
        <color theme="0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25.71"/>
    <col customWidth="1" min="2" max="2" width="18.71"/>
    <col customWidth="1" min="3" max="3" width="21.57"/>
    <col customWidth="1" min="4" max="4" width="17.29"/>
    <col customWidth="1" min="5" max="5" width="17.14"/>
    <col customWidth="1" min="6" max="7" width="16.57"/>
    <col customWidth="1" min="8" max="8" width="20.0"/>
    <col customWidth="1" min="9" max="9" width="17.57"/>
    <col customWidth="1" min="10" max="10" width="15.43"/>
    <col customWidth="1" min="11" max="11" width="14.57"/>
    <col customWidth="1" min="12" max="12" width="14.0"/>
  </cols>
  <sheetData>
    <row r="1">
      <c r="A1" s="1"/>
      <c r="B1" s="2"/>
      <c r="C1" s="2"/>
      <c r="D1" s="2"/>
      <c r="E1" s="2"/>
      <c r="F1" s="2"/>
      <c r="G1" s="2"/>
      <c r="H1" s="2"/>
      <c r="I1" s="2"/>
      <c r="J1" s="2"/>
      <c r="K1" s="3"/>
    </row>
    <row r="2">
      <c r="A2" s="4" t="s">
        <v>0</v>
      </c>
      <c r="B2" s="4" t="s">
        <v>1</v>
      </c>
      <c r="C2" s="4" t="s">
        <v>2</v>
      </c>
      <c r="D2" s="5" t="s">
        <v>3</v>
      </c>
      <c r="E2" s="4" t="s">
        <v>4</v>
      </c>
      <c r="F2" s="5" t="s">
        <v>5</v>
      </c>
      <c r="G2" s="5" t="s">
        <v>6</v>
      </c>
      <c r="H2" s="5" t="s">
        <v>7</v>
      </c>
      <c r="I2" s="4" t="s">
        <v>8</v>
      </c>
      <c r="J2" s="6" t="s">
        <v>9</v>
      </c>
      <c r="K2" s="7" t="s">
        <v>10</v>
      </c>
      <c r="L2" s="6" t="s">
        <v>11</v>
      </c>
    </row>
    <row r="3">
      <c r="A3" s="8" t="s">
        <v>12</v>
      </c>
      <c r="B3" s="9">
        <f>IFERROR(__xludf.DUMMYFUNCTION("vlookup(A3,importrange(""https://docs.google.com/spreadsheets/d/1arpJoJSlKHkJ-Zn4sJxqp3okt8tUTIYCnkob2xnYiCU/edit?usp=sharing"",""Jan 2026!$A:$AH""),34,0)+vlookup(A3,importrange(""https://docs.google.com/spreadsheets/d/1arpJoJSlKHkJ-Zn4sJxqp3okt8tUTIYCnko"&amp;"b2xnYiCU/edit?usp=sharing"",""Feb 2026!$A:$AH""),34,0)+vlookup(A3,importrange(""https://docs.google.com/spreadsheets/d/1arpJoJSlKHkJ-Zn4sJxqp3okt8tUTIYCnkob2xnYiCU/edit?usp=sharing"",""Mar 2026!$A:$AH""),34,0)+vlookup(A3,importrange(""https://docs.google."&amp;"com/spreadsheets/d/1arpJoJSlKHkJ-Zn4sJxqp3okt8tUTIYCnkob2xnYiCU/edit?usp=sharing"",""Apr 2026!$A:$AH""),34,0)+vlookup(A3,importrange(""https://docs.google.com/spreadsheets/d/1arpJoJSlKHkJ-Zn4sJxqp3okt8tUTIYCnkob2xnYiCU/edit?usp=sharing"",""May 2026!$A:$AH"&amp;"""),34,0)+vlookup(A3,importrange(""https://docs.google.com/spreadsheets/d/1arpJoJSlKHkJ-Zn4sJxqp3okt8tUTIYCnkob2xnYiCU/edit?usp=sharing"",""June 2026!$A:$AH""),34,0)+vlookup(A3,importrange(""https://docs.google.com/spreadsheets/d/1arpJoJSlKHkJ-Zn4sJxqp3ok"&amp;"t8tUTIYCnkob2xnYiCU/edit?usp=sharing"",""Current Month!$A:$AH""),34,0)"),0.0)</f>
        <v>0</v>
      </c>
      <c r="C3" s="9">
        <f>IFERROR(__xludf.DUMMYFUNCTION("vlookup(A3,importrange(""https://docs.google.com/spreadsheets/d/1arpJoJSlKHkJ-Zn4sJxqp3okt8tUTIYCnkob2xnYiCU/edit?usp=sharing"",""Jan 2026!$A:$AI""),35,0)+vlookup(A3,importrange(""https://docs.google.com/spreadsheets/d/1arpJoJSlKHkJ-Zn4sJxqp3okt8tUTIYCnko"&amp;"b2xnYiCU/edit?usp=sharing"",""Feb 2026!$A:$AI""),35,0)+vlookup(A3,importrange(""https://docs.google.com/spreadsheets/d/1arpJoJSlKHkJ-Zn4sJxqp3okt8tUTIYCnkob2xnYiCU/edit?usp=sharing"",""Mar 2026!$A:$AI""),35,0)+vlookup(A3,importrange(""https://docs.google."&amp;"com/spreadsheets/d/1arpJoJSlKHkJ-Zn4sJxqp3okt8tUTIYCnkob2xnYiCU/edit?usp=sharing"",""Apr 2026!$A:$AI""),35,0)+vlookup(A3,importrange(""https://docs.google.com/spreadsheets/d/1arpJoJSlKHkJ-Zn4sJxqp3okt8tUTIYCnkob2xnYiCU/edit?usp=sharing"",""May 2026!$A:$AI"&amp;"""),35,0)+vlookup(A3,importrange(""https://docs.google.com/spreadsheets/d/1arpJoJSlKHkJ-Zn4sJxqp3okt8tUTIYCnkob2xnYiCU/edit?usp=sharing"",""June 2026!$A:$AI""),35,0)+vlookup(A3,importrange(""https://docs.google.com/spreadsheets/d/1arpJoJSlKHkJ-Zn4sJxqp3ok"&amp;"t8tUTIYCnkob2xnYiCU/edit?usp=sharing"",""Current Month!$A:$AI""),35,0)"),0.0)</f>
        <v>0</v>
      </c>
      <c r="D3" s="9">
        <f>IFERROR(__xludf.DUMMYFUNCTION("vlookup(A3,importrange(""https://docs.google.com/spreadsheets/d/1arpJoJSlKHkJ-Zn4sJxqp3okt8tUTIYCnkob2xnYiCU/edit?usp=sharing"",""Jan 2026!$A:$AJ""),36,0)+vlookup(A3,importrange(""https://docs.google.com/spreadsheets/d/1arpJoJSlKHkJ-Zn4sJxqp3okt8tUTIYCnko"&amp;"b2xnYiCU/edit?usp=sharing"",""Feb 2026!$A:$AJ""),36,0)+vlookup(A3,importrange(""https://docs.google.com/spreadsheets/d/1arpJoJSlKHkJ-Zn4sJxqp3okt8tUTIYCnkob2xnYiCU/edit?usp=sharing"",""Mar 2026!$A:$AJ""),36,0)+vlookup(A3,importrange(""https://docs.google."&amp;"com/spreadsheets/d/1arpJoJSlKHkJ-Zn4sJxqp3okt8tUTIYCnkob2xnYiCU/edit?usp=sharing"",""Apr 2026!$A:$AJ""),36,0)+vlookup(A3,importrange(""https://docs.google.com/spreadsheets/d/1arpJoJSlKHkJ-Zn4sJxqp3okt8tUTIYCnkob2xnYiCU/edit?usp=sharing"",""May 2026!$A:$AJ"&amp;"""),36,0)+vlookup(A3,importrange(""https://docs.google.com/spreadsheets/d/1arpJoJSlKHkJ-Zn4sJxqp3okt8tUTIYCnkob2xnYiCU/edit?usp=sharing"",""June 2026!$A:$AJ""),36,0)+vlookup(A3,importrange(""https://docs.google.com/spreadsheets/d/1arpJoJSlKHkJ-Zn4sJxqp3ok"&amp;"t8tUTIYCnkob2xnYiCU/edit?usp=sharing"",""Current Month!$A:$AJ""),36,0)"),0.0)</f>
        <v>0</v>
      </c>
      <c r="E3" s="9">
        <f>IFERROR(__xludf.DUMMYFUNCTION("vlookup(A3,importrange(""https://docs.google.com/spreadsheets/d/1arpJoJSlKHkJ-Zn4sJxqp3okt8tUTIYCnkob2xnYiCU/edit?usp=sharing"",""Jan 2026!$A:$AK""),37,0)+vlookup(A3,importrange(""https://docs.google.com/spreadsheets/d/1arpJoJSlKHkJ-Zn4sJxqp3okt8tUTIYCnko"&amp;"b2xnYiCU/edit?usp=sharing"",""Feb 2026!$A:$AK""),37,0)+vlookup(A3,importrange(""https://docs.google.com/spreadsheets/d/1arpJoJSlKHkJ-Zn4sJxqp3okt8tUTIYCnkob2xnYiCU/edit?usp=sharing"",""Mar 2026!$A:$AK""),37,0)+vlookup(A3,importrange(""https://docs.google."&amp;"com/spreadsheets/d/1arpJoJSlKHkJ-Zn4sJxqp3okt8tUTIYCnkob2xnYiCU/edit?usp=sharing"",""Apr 2026!$A:$AK""),37,0)+vlookup(A3,importrange(""https://docs.google.com/spreadsheets/d/1arpJoJSlKHkJ-Zn4sJxqp3okt8tUTIYCnkob2xnYiCU/edit?usp=sharing"",""May 2026!$A:$AK"&amp;"""),37,0)+vlookup(A3,importrange(""https://docs.google.com/spreadsheets/d/1arpJoJSlKHkJ-Zn4sJxqp3okt8tUTIYCnkob2xnYiCU/edit?usp=sharing"",""June 2026!$A:$AK""),37,0)+vlookup(A3,importrange(""https://docs.google.com/spreadsheets/d/1arpJoJSlKHkJ-Zn4sJxqp3ok"&amp;"t8tUTIYCnkob2xnYiCU/edit?usp=sharing"",""Current Month!$A:$AK""),37,0)"),1.0)</f>
        <v>1</v>
      </c>
      <c r="F3" s="9">
        <f t="shared" ref="F3:F40" si="1">(4+E3)-G3</f>
        <v>5</v>
      </c>
      <c r="G3" s="9">
        <f>IFERROR(__xludf.DUMMYFUNCTION("vlookup(A3,importrange(""https://docs.google.com/spreadsheets/d/1arpJoJSlKHkJ-Zn4sJxqp3okt8tUTIYCnkob2xnYiCU/edit?usp=sharing"",""Jan 2026!$A:$AN""),40,0)+vlookup(A3,importrange(""https://docs.google.com/spreadsheets/d/1arpJoJSlKHkJ-Zn4sJxqp3okt8tUTIYCnko"&amp;"b2xnYiCU/edit?usp=sharing"",""Feb 2026!$A:$AN""),40,0)+vlookup(A3,importrange(""https://docs.google.com/spreadsheets/d/1arpJoJSlKHkJ-Zn4sJxqp3okt8tUTIYCnkob2xnYiCU/edit?usp=sharing"",""Mar 2026!$A:$AN""),40,0)+vlookup(A3,importrange(""https://docs.google."&amp;"com/spreadsheets/d/1arpJoJSlKHkJ-Zn4sJxqp3okt8tUTIYCnkob2xnYiCU/edit?usp=sharing"",""Apr 2026!$A:$AN""),40,0)+vlookup(A3,importrange(""https://docs.google.com/spreadsheets/d/1arpJoJSlKHkJ-Zn4sJxqp3okt8tUTIYCnkob2xnYiCU/edit?usp=sharing"",""May 2026!$A:$AN"&amp;"""),40,0)+vlookup(A3,importrange(""https://docs.google.com/spreadsheets/d/1arpJoJSlKHkJ-Zn4sJxqp3okt8tUTIYCnkob2xnYiCU/edit?usp=sharing"",""June 2026!$A:$AN""),40,0)+vlookup(A3,importrange(""https://docs.google.com/spreadsheets/d/1arpJoJSlKHkJ-Zn4sJxqp3ok"&amp;"t8tUTIYCnkob2xnYiCU/edit?usp=sharing"",""Current Month!$A:$AN""),40,0)"),0.0)</f>
        <v>0</v>
      </c>
      <c r="H3" s="9">
        <v>12.0</v>
      </c>
      <c r="I3" s="10">
        <f t="shared" ref="I3:I40" si="2">((ROUNDUP(((21/12)*H3),0)-(B3+C3)))</f>
        <v>21</v>
      </c>
      <c r="J3" s="9">
        <f>IFERROR(__xludf.DUMMYFUNCTION("vlookup(A3,importrange(""https://docs.google.com/spreadsheets/d/1arpJoJSlKHkJ-Zn4sJxqp3okt8tUTIYCnkob2xnYiCU/edit?usp=sharing"",""Jan 2026!$A:$AP""),41,0)+vlookup(A3,importrange(""https://docs.google.com/spreadsheets/d/1arpJoJSlKHkJ-Zn4sJxqp3okt8tUTIYCnko"&amp;"b2xnYiCU/edit?usp=sharing"",""Feb 2026!$A:$AP""),41,0)+vlookup(A3,importrange(""https://docs.google.com/spreadsheets/d/1arpJoJSlKHkJ-Zn4sJxqp3okt8tUTIYCnkob2xnYiCU/edit?usp=sharing"",""Mar 2026!$A:$AP""),41,0)+vlookup(A3,importrange(""https://docs.google."&amp;"com/spreadsheets/d/1arpJoJSlKHkJ-Zn4sJxqp3okt8tUTIYCnkob2xnYiCU/edit?usp=sharing"",""Apr 2026!$A:$AP""),41,0)+vlookup(A3,importrange(""https://docs.google.com/spreadsheets/d/1arpJoJSlKHkJ-Zn4sJxqp3okt8tUTIYCnkob2xnYiCU/edit?usp=sharing"",""Current Month!$"&amp;"A:$AP""),41,0)"),1.0)</f>
        <v>1</v>
      </c>
      <c r="K3" s="11">
        <f>IFERROR(__xludf.DUMMYFUNCTION("J3/((vlookup(A3,importrange(""https://docs.google.com/spreadsheets/d/1arpJoJSlKHkJ-Zn4sJxqp3okt8tUTIYCnkob2xnYiCU/edit?usp=sharing"",""Jan 2026!$A:$AG""),33,0))+(vlookup(A3,importrange(""https://docs.google.com/spreadsheets/d/1arpJoJSlKHkJ-Zn4sJxqp3okt8tU"&amp;"TIYCnkob2xnYiCU/edit?usp=sharing"",""Feb 2026!$A:$AG""),33,0))+(vlookup(A3,importrange(""https://docs.google.com/spreadsheets/d/1arpJoJSlKHkJ-Zn4sJxqp3okt8tUTIYCnkob2xnYiCU/edit?usp=sharing"",""Mar 2026!$A:$AG""),33,0))+(vlookup(A3,importrange(""https://d"&amp;"ocs.google.com/spreadsheets/d/1arpJoJSlKHkJ-Zn4sJxqp3okt8tUTIYCnkob2xnYiCU/edit?usp=sharing"",""Apr 2026!$A:$AG""),33,0))+(vlookup(A3,importrange(""https://docs.google.com/spreadsheets/d/1arpJoJSlKHkJ-Zn4sJxqp3okt8tUTIYCnkob2xnYiCU/edit?usp=sharing"",""Cu"&amp;"rrent Month!$A:$AG""),33,0)))"),0.010101010101010102)</f>
        <v>0.0101010101</v>
      </c>
      <c r="L3" s="9">
        <f>IFERROR(__xludf.DUMMYFUNCTION("vlookup(A3,importrange(""https://docs.google.com/spreadsheets/d/1arpJoJSlKHkJ-Zn4sJxqp3okt8tUTIYCnkob2xnYiCU/edit?usp=sharing"",""Current Month!$A:$AP""),42,0)+vlookup(A3,importrange(""https://docs.google.com/spreadsheets/d/1arpJoJSlKHkJ-Zn4sJxqp3okt8tUTI"&amp;"YCnkob2xnYiCU/edit?usp=sharing"",""Jan 2026!$A:$AP""),42,0)+vlookup(A3,importrange(""https://docs.google.com/spreadsheets/d/1arpJoJSlKHkJ-Zn4sJxqp3okt8tUTIYCnkob2xnYiCU/edit?usp=sharing"",""Feb 2026!$A:$AP""),42,0)+vlookup(A3,importrange(""https://docs.go"&amp;"ogle.com/spreadsheets/d/1arpJoJSlKHkJ-Zn4sJxqp3okt8tUTIYCnkob2xnYiCU/edit?usp=sharing"",""Mar 2026!$A:$AP""),42,0)+vlookup(A3,importrange(""https://docs.google.com/spreadsheets/d/1arpJoJSlKHkJ-Zn4sJxqp3okt8tUTIYCnkob2xnYiCU/edit?usp=sharing"",""Apr 2026!$"&amp;"A:$AP""),42,0)"),0.0)</f>
        <v>0</v>
      </c>
    </row>
    <row r="4">
      <c r="A4" s="8" t="s">
        <v>13</v>
      </c>
      <c r="B4" s="9">
        <f>IFERROR(__xludf.DUMMYFUNCTION("vlookup(A4,importrange(""https://docs.google.com/spreadsheets/d/1arpJoJSlKHkJ-Zn4sJxqp3okt8tUTIYCnkob2xnYiCU/edit?usp=sharing"",""Jan 2026!$A:$AH""),34,0)+vlookup(A4,importrange(""https://docs.google.com/spreadsheets/d/1arpJoJSlKHkJ-Zn4sJxqp3okt8tUTIYCnko"&amp;"b2xnYiCU/edit?usp=sharing"",""Feb 2026!$A:$AH""),34,0)+vlookup(A4,importrange(""https://docs.google.com/spreadsheets/d/1arpJoJSlKHkJ-Zn4sJxqp3okt8tUTIYCnkob2xnYiCU/edit?usp=sharing"",""Mar 2026!$A:$AH""),34,0)+vlookup(A4,importrange(""https://docs.google."&amp;"com/spreadsheets/d/1arpJoJSlKHkJ-Zn4sJxqp3okt8tUTIYCnkob2xnYiCU/edit?usp=sharing"",""Apr 2026!$A:$AH""),34,0)+vlookup(A4,importrange(""https://docs.google.com/spreadsheets/d/1arpJoJSlKHkJ-Zn4sJxqp3okt8tUTIYCnkob2xnYiCU/edit?usp=sharing"",""May 2026!$A:$AH"&amp;"""),34,0)+vlookup(A4,importrange(""https://docs.google.com/spreadsheets/d/1arpJoJSlKHkJ-Zn4sJxqp3okt8tUTIYCnkob2xnYiCU/edit?usp=sharing"",""June 2026!$A:$AH""),34,0)+vlookup(A4,importrange(""https://docs.google.com/spreadsheets/d/1arpJoJSlKHkJ-Zn4sJxqp3ok"&amp;"t8tUTIYCnkob2xnYiCU/edit?usp=sharing"",""Current Month!$A:$AH""),34,0)"),0.0)</f>
        <v>0</v>
      </c>
      <c r="C4" s="9">
        <f>IFERROR(__xludf.DUMMYFUNCTION("vlookup(A4,importrange(""https://docs.google.com/spreadsheets/d/1arpJoJSlKHkJ-Zn4sJxqp3okt8tUTIYCnkob2xnYiCU/edit?usp=sharing"",""Jan 2026!$A:$AI""),35,0)+vlookup(A4,importrange(""https://docs.google.com/spreadsheets/d/1arpJoJSlKHkJ-Zn4sJxqp3okt8tUTIYCnko"&amp;"b2xnYiCU/edit?usp=sharing"",""Feb 2026!$A:$AI""),35,0)+vlookup(A4,importrange(""https://docs.google.com/spreadsheets/d/1arpJoJSlKHkJ-Zn4sJxqp3okt8tUTIYCnkob2xnYiCU/edit?usp=sharing"",""Mar 2026!$A:$AI""),35,0)+vlookup(A4,importrange(""https://docs.google."&amp;"com/spreadsheets/d/1arpJoJSlKHkJ-Zn4sJxqp3okt8tUTIYCnkob2xnYiCU/edit?usp=sharing"",""Apr 2026!$A:$AI""),35,0)+vlookup(A4,importrange(""https://docs.google.com/spreadsheets/d/1arpJoJSlKHkJ-Zn4sJxqp3okt8tUTIYCnkob2xnYiCU/edit?usp=sharing"",""May 2026!$A:$AI"&amp;"""),35,0)+vlookup(A4,importrange(""https://docs.google.com/spreadsheets/d/1arpJoJSlKHkJ-Zn4sJxqp3okt8tUTIYCnkob2xnYiCU/edit?usp=sharing"",""June 2026!$A:$AI""),35,0)+vlookup(A4,importrange(""https://docs.google.com/spreadsheets/d/1arpJoJSlKHkJ-Zn4sJxqp3ok"&amp;"t8tUTIYCnkob2xnYiCU/edit?usp=sharing"",""Current Month!$A:$AI""),35,0)"),6.5)</f>
        <v>6.5</v>
      </c>
      <c r="D4" s="9">
        <f>IFERROR(__xludf.DUMMYFUNCTION("vlookup(A4,importrange(""https://docs.google.com/spreadsheets/d/1arpJoJSlKHkJ-Zn4sJxqp3okt8tUTIYCnkob2xnYiCU/edit?usp=sharing"",""Jan 2026!$A:$AJ""),36,0)+vlookup(A4,importrange(""https://docs.google.com/spreadsheets/d/1arpJoJSlKHkJ-Zn4sJxqp3okt8tUTIYCnko"&amp;"b2xnYiCU/edit?usp=sharing"",""Feb 2026!$A:$AJ""),36,0)+vlookup(A4,importrange(""https://docs.google.com/spreadsheets/d/1arpJoJSlKHkJ-Zn4sJxqp3okt8tUTIYCnkob2xnYiCU/edit?usp=sharing"",""Mar 2026!$A:$AJ""),36,0)+vlookup(A4,importrange(""https://docs.google."&amp;"com/spreadsheets/d/1arpJoJSlKHkJ-Zn4sJxqp3okt8tUTIYCnkob2xnYiCU/edit?usp=sharing"",""Apr 2026!$A:$AJ""),36,0)+vlookup(A4,importrange(""https://docs.google.com/spreadsheets/d/1arpJoJSlKHkJ-Zn4sJxqp3okt8tUTIYCnkob2xnYiCU/edit?usp=sharing"",""May 2026!$A:$AJ"&amp;"""),36,0)+vlookup(A4,importrange(""https://docs.google.com/spreadsheets/d/1arpJoJSlKHkJ-Zn4sJxqp3okt8tUTIYCnkob2xnYiCU/edit?usp=sharing"",""June 2026!$A:$AJ""),36,0)+vlookup(A4,importrange(""https://docs.google.com/spreadsheets/d/1arpJoJSlKHkJ-Zn4sJxqp3ok"&amp;"t8tUTIYCnkob2xnYiCU/edit?usp=sharing"",""Current Month!$A:$AJ""),36,0)"),0.0)</f>
        <v>0</v>
      </c>
      <c r="E4" s="9">
        <f>IFERROR(__xludf.DUMMYFUNCTION("vlookup(A4,importrange(""https://docs.google.com/spreadsheets/d/1arpJoJSlKHkJ-Zn4sJxqp3okt8tUTIYCnkob2xnYiCU/edit?usp=sharing"",""Jan 2026!$A:$AK""),37,0)+vlookup(A4,importrange(""https://docs.google.com/spreadsheets/d/1arpJoJSlKHkJ-Zn4sJxqp3okt8tUTIYCnko"&amp;"b2xnYiCU/edit?usp=sharing"",""Feb 2026!$A:$AK""),37,0)+vlookup(A4,importrange(""https://docs.google.com/spreadsheets/d/1arpJoJSlKHkJ-Zn4sJxqp3okt8tUTIYCnkob2xnYiCU/edit?usp=sharing"",""Mar 2026!$A:$AK""),37,0)+vlookup(A4,importrange(""https://docs.google."&amp;"com/spreadsheets/d/1arpJoJSlKHkJ-Zn4sJxqp3okt8tUTIYCnkob2xnYiCU/edit?usp=sharing"",""Apr 2026!$A:$AK""),37,0)+vlookup(A4,importrange(""https://docs.google.com/spreadsheets/d/1arpJoJSlKHkJ-Zn4sJxqp3okt8tUTIYCnkob2xnYiCU/edit?usp=sharing"",""May 2026!$A:$AK"&amp;"""),37,0)+vlookup(A4,importrange(""https://docs.google.com/spreadsheets/d/1arpJoJSlKHkJ-Zn4sJxqp3okt8tUTIYCnkob2xnYiCU/edit?usp=sharing"",""June 2026!$A:$AK""),37,0)+vlookup(A4,importrange(""https://docs.google.com/spreadsheets/d/1arpJoJSlKHkJ-Zn4sJxqp3ok"&amp;"t8tUTIYCnkob2xnYiCU/edit?usp=sharing"",""Current Month!$A:$AK""),37,0)"),0.0)</f>
        <v>0</v>
      </c>
      <c r="F4" s="9">
        <f t="shared" si="1"/>
        <v>4</v>
      </c>
      <c r="G4" s="9">
        <f>IFERROR(__xludf.DUMMYFUNCTION("vlookup(A4,importrange(""https://docs.google.com/spreadsheets/d/1arpJoJSlKHkJ-Zn4sJxqp3okt8tUTIYCnkob2xnYiCU/edit?usp=sharing"",""Jan 2026!$A:$AN""),40,0)+vlookup(A4,importrange(""https://docs.google.com/spreadsheets/d/1arpJoJSlKHkJ-Zn4sJxqp3okt8tUTIYCnko"&amp;"b2xnYiCU/edit?usp=sharing"",""Feb 2026!$A:$AN""),40,0)+vlookup(A4,importrange(""https://docs.google.com/spreadsheets/d/1arpJoJSlKHkJ-Zn4sJxqp3okt8tUTIYCnkob2xnYiCU/edit?usp=sharing"",""Mar 2026!$A:$AN""),40,0)+vlookup(A4,importrange(""https://docs.google."&amp;"com/spreadsheets/d/1arpJoJSlKHkJ-Zn4sJxqp3okt8tUTIYCnkob2xnYiCU/edit?usp=sharing"",""Apr 2026!$A:$AN""),40,0)+vlookup(A4,importrange(""https://docs.google.com/spreadsheets/d/1arpJoJSlKHkJ-Zn4sJxqp3okt8tUTIYCnkob2xnYiCU/edit?usp=sharing"",""May 2026!$A:$AN"&amp;"""),40,0)+vlookup(A4,importrange(""https://docs.google.com/spreadsheets/d/1arpJoJSlKHkJ-Zn4sJxqp3okt8tUTIYCnkob2xnYiCU/edit?usp=sharing"",""June 2026!$A:$AN""),40,0)+vlookup(A4,importrange(""https://docs.google.com/spreadsheets/d/1arpJoJSlKHkJ-Zn4sJxqp3ok"&amp;"t8tUTIYCnkob2xnYiCU/edit?usp=sharing"",""Current Month!$A:$AN""),40,0)"),0.0)</f>
        <v>0</v>
      </c>
      <c r="H4" s="9">
        <v>12.0</v>
      </c>
      <c r="I4" s="10">
        <f t="shared" si="2"/>
        <v>14.5</v>
      </c>
      <c r="J4" s="9">
        <f>IFERROR(__xludf.DUMMYFUNCTION("vlookup(A4,importrange(""https://docs.google.com/spreadsheets/d/1arpJoJSlKHkJ-Zn4sJxqp3okt8tUTIYCnkob2xnYiCU/edit?usp=sharing"",""Jan 2026!$A:$AP""),41,0)+vlookup(A4,importrange(""https://docs.google.com/spreadsheets/d/1arpJoJSlKHkJ-Zn4sJxqp3okt8tUTIYCnko"&amp;"b2xnYiCU/edit?usp=sharing"",""Feb 2026!$A:$AP""),41,0)+vlookup(A4,importrange(""https://docs.google.com/spreadsheets/d/1arpJoJSlKHkJ-Zn4sJxqp3okt8tUTIYCnkob2xnYiCU/edit?usp=sharing"",""Mar 2026!$A:$AP""),41,0)+vlookup(A4,importrange(""https://docs.google."&amp;"com/spreadsheets/d/1arpJoJSlKHkJ-Zn4sJxqp3okt8tUTIYCnkob2xnYiCU/edit?usp=sharing"",""Current Month!$A:$AP""),41,0)"),10.0)</f>
        <v>10</v>
      </c>
      <c r="K4" s="11">
        <f>IFERROR(__xludf.DUMMYFUNCTION("J4/((vlookup(A4,importrange(""https://docs.google.com/spreadsheets/d/1arpJoJSlKHkJ-Zn4sJxqp3okt8tUTIYCnkob2xnYiCU/edit?usp=sharing"",""Jan 2026!$A:$AG""),33,0))+(vlookup(A4,importrange(""https://docs.google.com/spreadsheets/d/1arpJoJSlKHkJ-Zn4sJxqp3okt8tU"&amp;"TIYCnkob2xnYiCU/edit?usp=sharing"",""Feb 2026!$A:$AG""),33,0))+(vlookup(A4,importrange(""https://docs.google.com/spreadsheets/d/1arpJoJSlKHkJ-Zn4sJxqp3okt8tUTIYCnkob2xnYiCU/edit?usp=sharing"",""Mar 2026!$A:$AG""),33,0))+(vlookup(A4,importrange(""https://d"&amp;"ocs.google.com/spreadsheets/d/1arpJoJSlKHkJ-Zn4sJxqp3okt8tUTIYCnkob2xnYiCU/edit?usp=sharing"",""Apr 2026!$A:$AG""),33,0))+(vlookup(A4,importrange(""https://docs.google.com/spreadsheets/d/1arpJoJSlKHkJ-Zn4sJxqp3okt8tUTIYCnkob2xnYiCU/edit?usp=sharing"",""Cu"&amp;"rrent Month!$A:$AG""),33,0)))"),0.1111111111111111)</f>
        <v>0.1111111111</v>
      </c>
      <c r="L4" s="9">
        <f>IFERROR(__xludf.DUMMYFUNCTION("vlookup(A4,importrange(""https://docs.google.com/spreadsheets/d/1arpJoJSlKHkJ-Zn4sJxqp3okt8tUTIYCnkob2xnYiCU/edit?usp=sharing"",""Current Month!$A:$AP""),42,0)+vlookup(A4,importrange(""https://docs.google.com/spreadsheets/d/1arpJoJSlKHkJ-Zn4sJxqp3okt8tUTI"&amp;"YCnkob2xnYiCU/edit?usp=sharing"",""Jan 2026!$A:$AP""),42,0)+vlookup(A4,importrange(""https://docs.google.com/spreadsheets/d/1arpJoJSlKHkJ-Zn4sJxqp3okt8tUTIYCnkob2xnYiCU/edit?usp=sharing"",""Feb 2026!$A:$AP""),42,0)+vlookup(A4,importrange(""https://docs.go"&amp;"ogle.com/spreadsheets/d/1arpJoJSlKHkJ-Zn4sJxqp3okt8tUTIYCnkob2xnYiCU/edit?usp=sharing"",""Mar 2026!$A:$AP""),42,0)+vlookup(A4,importrange(""https://docs.google.com/spreadsheets/d/1arpJoJSlKHkJ-Zn4sJxqp3okt8tUTIYCnkob2xnYiCU/edit?usp=sharing"",""Apr 2026!$"&amp;"A:$AP""),42,0)"),0.0)</f>
        <v>0</v>
      </c>
    </row>
    <row r="5">
      <c r="A5" s="8" t="s">
        <v>14</v>
      </c>
      <c r="B5" s="9">
        <f>IFERROR(__xludf.DUMMYFUNCTION("vlookup(A5,importrange(""https://docs.google.com/spreadsheets/d/1arpJoJSlKHkJ-Zn4sJxqp3okt8tUTIYCnkob2xnYiCU/edit?usp=sharing"",""Jan 2026!$A:$AH""),34,0)+vlookup(A5,importrange(""https://docs.google.com/spreadsheets/d/1arpJoJSlKHkJ-Zn4sJxqp3okt8tUTIYCnko"&amp;"b2xnYiCU/edit?usp=sharing"",""Feb 2026!$A:$AH""),34,0)+vlookup(A5,importrange(""https://docs.google.com/spreadsheets/d/1arpJoJSlKHkJ-Zn4sJxqp3okt8tUTIYCnkob2xnYiCU/edit?usp=sharing"",""Mar 2026!$A:$AH""),34,0)+vlookup(A5,importrange(""https://docs.google."&amp;"com/spreadsheets/d/1arpJoJSlKHkJ-Zn4sJxqp3okt8tUTIYCnkob2xnYiCU/edit?usp=sharing"",""Apr 2026!$A:$AH""),34,0)+vlookup(A5,importrange(""https://docs.google.com/spreadsheets/d/1arpJoJSlKHkJ-Zn4sJxqp3okt8tUTIYCnkob2xnYiCU/edit?usp=sharing"",""May 2026!$A:$AH"&amp;"""),34,0)+vlookup(A5,importrange(""https://docs.google.com/spreadsheets/d/1arpJoJSlKHkJ-Zn4sJxqp3okt8tUTIYCnkob2xnYiCU/edit?usp=sharing"",""June 2026!$A:$AH""),34,0)+vlookup(A5,importrange(""https://docs.google.com/spreadsheets/d/1arpJoJSlKHkJ-Zn4sJxqp3ok"&amp;"t8tUTIYCnkob2xnYiCU/edit?usp=sharing"",""Current Month!$A:$AH""),34,0)"),8.0)</f>
        <v>8</v>
      </c>
      <c r="C5" s="9">
        <f>IFERROR(__xludf.DUMMYFUNCTION("vlookup(A5,importrange(""https://docs.google.com/spreadsheets/d/1arpJoJSlKHkJ-Zn4sJxqp3okt8tUTIYCnkob2xnYiCU/edit?usp=sharing"",""Jan 2026!$A:$AI""),35,0)+vlookup(A5,importrange(""https://docs.google.com/spreadsheets/d/1arpJoJSlKHkJ-Zn4sJxqp3okt8tUTIYCnko"&amp;"b2xnYiCU/edit?usp=sharing"",""Feb 2026!$A:$AI""),35,0)+vlookup(A5,importrange(""https://docs.google.com/spreadsheets/d/1arpJoJSlKHkJ-Zn4sJxqp3okt8tUTIYCnkob2xnYiCU/edit?usp=sharing"",""Mar 2026!$A:$AI""),35,0)+vlookup(A5,importrange(""https://docs.google."&amp;"com/spreadsheets/d/1arpJoJSlKHkJ-Zn4sJxqp3okt8tUTIYCnkob2xnYiCU/edit?usp=sharing"",""Apr 2026!$A:$AI""),35,0)+vlookup(A5,importrange(""https://docs.google.com/spreadsheets/d/1arpJoJSlKHkJ-Zn4sJxqp3okt8tUTIYCnkob2xnYiCU/edit?usp=sharing"",""May 2026!$A:$AI"&amp;"""),35,0)+vlookup(A5,importrange(""https://docs.google.com/spreadsheets/d/1arpJoJSlKHkJ-Zn4sJxqp3okt8tUTIYCnkob2xnYiCU/edit?usp=sharing"",""June 2026!$A:$AI""),35,0)+vlookup(A5,importrange(""https://docs.google.com/spreadsheets/d/1arpJoJSlKHkJ-Zn4sJxqp3ok"&amp;"t8tUTIYCnkob2xnYiCU/edit?usp=sharing"",""Current Month!$A:$AI""),35,0)"),8.5)</f>
        <v>8.5</v>
      </c>
      <c r="D5" s="9">
        <f>IFERROR(__xludf.DUMMYFUNCTION("vlookup(A5,importrange(""https://docs.google.com/spreadsheets/d/1arpJoJSlKHkJ-Zn4sJxqp3okt8tUTIYCnkob2xnYiCU/edit?usp=sharing"",""Jan 2026!$A:$AJ""),36,0)+vlookup(A5,importrange(""https://docs.google.com/spreadsheets/d/1arpJoJSlKHkJ-Zn4sJxqp3okt8tUTIYCnko"&amp;"b2xnYiCU/edit?usp=sharing"",""Feb 2026!$A:$AJ""),36,0)+vlookup(A5,importrange(""https://docs.google.com/spreadsheets/d/1arpJoJSlKHkJ-Zn4sJxqp3okt8tUTIYCnkob2xnYiCU/edit?usp=sharing"",""Mar 2026!$A:$AJ""),36,0)+vlookup(A5,importrange(""https://docs.google."&amp;"com/spreadsheets/d/1arpJoJSlKHkJ-Zn4sJxqp3okt8tUTIYCnkob2xnYiCU/edit?usp=sharing"",""Apr 2026!$A:$AJ""),36,0)+vlookup(A5,importrange(""https://docs.google.com/spreadsheets/d/1arpJoJSlKHkJ-Zn4sJxqp3okt8tUTIYCnkob2xnYiCU/edit?usp=sharing"",""May 2026!$A:$AJ"&amp;"""),36,0)+vlookup(A5,importrange(""https://docs.google.com/spreadsheets/d/1arpJoJSlKHkJ-Zn4sJxqp3okt8tUTIYCnkob2xnYiCU/edit?usp=sharing"",""June 2026!$A:$AJ""),36,0)+vlookup(A5,importrange(""https://docs.google.com/spreadsheets/d/1arpJoJSlKHkJ-Zn4sJxqp3ok"&amp;"t8tUTIYCnkob2xnYiCU/edit?usp=sharing"",""Current Month!$A:$AJ""),36,0)"),0.0)</f>
        <v>0</v>
      </c>
      <c r="E5" s="9">
        <f>IFERROR(__xludf.DUMMYFUNCTION("vlookup(A5,importrange(""https://docs.google.com/spreadsheets/d/1arpJoJSlKHkJ-Zn4sJxqp3okt8tUTIYCnkob2xnYiCU/edit?usp=sharing"",""Jan 2026!$A:$AK""),37,0)+vlookup(A5,importrange(""https://docs.google.com/spreadsheets/d/1arpJoJSlKHkJ-Zn4sJxqp3okt8tUTIYCnko"&amp;"b2xnYiCU/edit?usp=sharing"",""Feb 2026!$A:$AK""),37,0)+vlookup(A5,importrange(""https://docs.google.com/spreadsheets/d/1arpJoJSlKHkJ-Zn4sJxqp3okt8tUTIYCnkob2xnYiCU/edit?usp=sharing"",""Mar 2026!$A:$AK""),37,0)+vlookup(A5,importrange(""https://docs.google."&amp;"com/spreadsheets/d/1arpJoJSlKHkJ-Zn4sJxqp3okt8tUTIYCnkob2xnYiCU/edit?usp=sharing"",""Apr 2026!$A:$AK""),37,0)+vlookup(A5,importrange(""https://docs.google.com/spreadsheets/d/1arpJoJSlKHkJ-Zn4sJxqp3okt8tUTIYCnkob2xnYiCU/edit?usp=sharing"",""May 2026!$A:$AK"&amp;"""),37,0)+vlookup(A5,importrange(""https://docs.google.com/spreadsheets/d/1arpJoJSlKHkJ-Zn4sJxqp3okt8tUTIYCnkob2xnYiCU/edit?usp=sharing"",""June 2026!$A:$AK""),37,0)+vlookup(A5,importrange(""https://docs.google.com/spreadsheets/d/1arpJoJSlKHkJ-Zn4sJxqp3ok"&amp;"t8tUTIYCnkob2xnYiCU/edit?usp=sharing"",""Current Month!$A:$AK""),37,0)"),0.0)</f>
        <v>0</v>
      </c>
      <c r="F5" s="9">
        <f t="shared" si="1"/>
        <v>2</v>
      </c>
      <c r="G5" s="9">
        <f>IFERROR(__xludf.DUMMYFUNCTION("vlookup(A5,importrange(""https://docs.google.com/spreadsheets/d/1arpJoJSlKHkJ-Zn4sJxqp3okt8tUTIYCnkob2xnYiCU/edit?usp=sharing"",""Jan 2026!$A:$AN""),40,0)+vlookup(A5,importrange(""https://docs.google.com/spreadsheets/d/1arpJoJSlKHkJ-Zn4sJxqp3okt8tUTIYCnko"&amp;"b2xnYiCU/edit?usp=sharing"",""Feb 2026!$A:$AN""),40,0)+vlookup(A5,importrange(""https://docs.google.com/spreadsheets/d/1arpJoJSlKHkJ-Zn4sJxqp3okt8tUTIYCnkob2xnYiCU/edit?usp=sharing"",""Mar 2026!$A:$AN""),40,0)+vlookup(A5,importrange(""https://docs.google."&amp;"com/spreadsheets/d/1arpJoJSlKHkJ-Zn4sJxqp3okt8tUTIYCnkob2xnYiCU/edit?usp=sharing"",""Apr 2026!$A:$AN""),40,0)+vlookup(A5,importrange(""https://docs.google.com/spreadsheets/d/1arpJoJSlKHkJ-Zn4sJxqp3okt8tUTIYCnkob2xnYiCU/edit?usp=sharing"",""May 2026!$A:$AN"&amp;"""),40,0)+vlookup(A5,importrange(""https://docs.google.com/spreadsheets/d/1arpJoJSlKHkJ-Zn4sJxqp3okt8tUTIYCnkob2xnYiCU/edit?usp=sharing"",""June 2026!$A:$AN""),40,0)+vlookup(A5,importrange(""https://docs.google.com/spreadsheets/d/1arpJoJSlKHkJ-Zn4sJxqp3ok"&amp;"t8tUTIYCnkob2xnYiCU/edit?usp=sharing"",""Current Month!$A:$AN""),40,0)"),2.0)</f>
        <v>2</v>
      </c>
      <c r="H5" s="9">
        <v>12.0</v>
      </c>
      <c r="I5" s="10">
        <f t="shared" si="2"/>
        <v>4.5</v>
      </c>
      <c r="J5" s="9">
        <f>IFERROR(__xludf.DUMMYFUNCTION("vlookup(A5,importrange(""https://docs.google.com/spreadsheets/d/1arpJoJSlKHkJ-Zn4sJxqp3okt8tUTIYCnkob2xnYiCU/edit?usp=sharing"",""Jan 2026!$A:$AP""),41,0)+vlookup(A5,importrange(""https://docs.google.com/spreadsheets/d/1arpJoJSlKHkJ-Zn4sJxqp3okt8tUTIYCnko"&amp;"b2xnYiCU/edit?usp=sharing"",""Feb 2026!$A:$AP""),41,0)+vlookup(A5,importrange(""https://docs.google.com/spreadsheets/d/1arpJoJSlKHkJ-Zn4sJxqp3okt8tUTIYCnkob2xnYiCU/edit?usp=sharing"",""Mar 2026!$A:$AP""),41,0)+vlookup(A5,importrange(""https://docs.google."&amp;"com/spreadsheets/d/1arpJoJSlKHkJ-Zn4sJxqp3okt8tUTIYCnkob2xnYiCU/edit?usp=sharing"",""Current Month!$A:$AP""),41,0)"),24.0)</f>
        <v>24</v>
      </c>
      <c r="K5" s="11">
        <f>IFERROR(__xludf.DUMMYFUNCTION("J5/((vlookup(A5,importrange(""https://docs.google.com/spreadsheets/d/1arpJoJSlKHkJ-Zn4sJxqp3okt8tUTIYCnkob2xnYiCU/edit?usp=sharing"",""Jan 2026!$A:$AG""),33,0))+(vlookup(A5,importrange(""https://docs.google.com/spreadsheets/d/1arpJoJSlKHkJ-Zn4sJxqp3okt8tU"&amp;"TIYCnkob2xnYiCU/edit?usp=sharing"",""Feb 2026!$A:$AG""),33,0))+(vlookup(A5,importrange(""https://docs.google.com/spreadsheets/d/1arpJoJSlKHkJ-Zn4sJxqp3okt8tUTIYCnkob2xnYiCU/edit?usp=sharing"",""Mar 2026!$A:$AG""),33,0))+(vlookup(A5,importrange(""https://d"&amp;"ocs.google.com/spreadsheets/d/1arpJoJSlKHkJ-Zn4sJxqp3okt8tUTIYCnkob2xnYiCU/edit?usp=sharing"",""Apr 2026!$A:$AG""),33,0))+(vlookup(A5,importrange(""https://docs.google.com/spreadsheets/d/1arpJoJSlKHkJ-Zn4sJxqp3okt8tUTIYCnkob2xnYiCU/edit?usp=sharing"",""Cu"&amp;"rrent Month!$A:$AG""),33,0)))"),0.2681564245810056)</f>
        <v>0.2681564246</v>
      </c>
      <c r="L5" s="9">
        <f>IFERROR(__xludf.DUMMYFUNCTION("vlookup(A5,importrange(""https://docs.google.com/spreadsheets/d/1arpJoJSlKHkJ-Zn4sJxqp3okt8tUTIYCnkob2xnYiCU/edit?usp=sharing"",""Current Month!$A:$AP""),42,0)+vlookup(A5,importrange(""https://docs.google.com/spreadsheets/d/1arpJoJSlKHkJ-Zn4sJxqp3okt8tUTI"&amp;"YCnkob2xnYiCU/edit?usp=sharing"",""Jan 2026!$A:$AP""),42,0)+vlookup(A5,importrange(""https://docs.google.com/spreadsheets/d/1arpJoJSlKHkJ-Zn4sJxqp3okt8tUTIYCnkob2xnYiCU/edit?usp=sharing"",""Feb 2026!$A:$AP""),42,0)+vlookup(A5,importrange(""https://docs.go"&amp;"ogle.com/spreadsheets/d/1arpJoJSlKHkJ-Zn4sJxqp3okt8tUTIYCnkob2xnYiCU/edit?usp=sharing"",""Mar 2026!$A:$AP""),42,0)+vlookup(A5,importrange(""https://docs.google.com/spreadsheets/d/1arpJoJSlKHkJ-Zn4sJxqp3okt8tUTIYCnkob2xnYiCU/edit?usp=sharing"",""Apr 2026!$"&amp;"A:$AP""),42,0)"),1.0)</f>
        <v>1</v>
      </c>
    </row>
    <row r="6">
      <c r="A6" s="8" t="s">
        <v>15</v>
      </c>
      <c r="B6" s="9">
        <f>IFERROR(__xludf.DUMMYFUNCTION("vlookup(A6,importrange(""https://docs.google.com/spreadsheets/d/1arpJoJSlKHkJ-Zn4sJxqp3okt8tUTIYCnkob2xnYiCU/edit?usp=sharing"",""Jan 2026!$A:$AH""),34,0)+vlookup(A6,importrange(""https://docs.google.com/spreadsheets/d/1arpJoJSlKHkJ-Zn4sJxqp3okt8tUTIYCnko"&amp;"b2xnYiCU/edit?usp=sharing"",""Feb 2026!$A:$AH""),34,0)+vlookup(A6,importrange(""https://docs.google.com/spreadsheets/d/1arpJoJSlKHkJ-Zn4sJxqp3okt8tUTIYCnkob2xnYiCU/edit?usp=sharing"",""Mar 2026!$A:$AH""),34,0)+vlookup(A6,importrange(""https://docs.google."&amp;"com/spreadsheets/d/1arpJoJSlKHkJ-Zn4sJxqp3okt8tUTIYCnkob2xnYiCU/edit?usp=sharing"",""Apr 2026!$A:$AH""),34,0)+vlookup(A6,importrange(""https://docs.google.com/spreadsheets/d/1arpJoJSlKHkJ-Zn4sJxqp3okt8tUTIYCnkob2xnYiCU/edit?usp=sharing"",""May 2026!$A:$AH"&amp;"""),34,0)+vlookup(A6,importrange(""https://docs.google.com/spreadsheets/d/1arpJoJSlKHkJ-Zn4sJxqp3okt8tUTIYCnkob2xnYiCU/edit?usp=sharing"",""June 2026!$A:$AH""),34,0)+vlookup(A6,importrange(""https://docs.google.com/spreadsheets/d/1arpJoJSlKHkJ-Zn4sJxqp3ok"&amp;"t8tUTIYCnkob2xnYiCU/edit?usp=sharing"",""Current Month!$A:$AH""),34,0)"),5.0)</f>
        <v>5</v>
      </c>
      <c r="C6" s="9">
        <f>IFERROR(__xludf.DUMMYFUNCTION("vlookup(A6,importrange(""https://docs.google.com/spreadsheets/d/1arpJoJSlKHkJ-Zn4sJxqp3okt8tUTIYCnkob2xnYiCU/edit?usp=sharing"",""Jan 2026!$A:$AI""),35,0)+vlookup(A6,importrange(""https://docs.google.com/spreadsheets/d/1arpJoJSlKHkJ-Zn4sJxqp3okt8tUTIYCnko"&amp;"b2xnYiCU/edit?usp=sharing"",""Feb 2026!$A:$AI""),35,0)+vlookup(A6,importrange(""https://docs.google.com/spreadsheets/d/1arpJoJSlKHkJ-Zn4sJxqp3okt8tUTIYCnkob2xnYiCU/edit?usp=sharing"",""Mar 2026!$A:$AI""),35,0)+vlookup(A6,importrange(""https://docs.google."&amp;"com/spreadsheets/d/1arpJoJSlKHkJ-Zn4sJxqp3okt8tUTIYCnkob2xnYiCU/edit?usp=sharing"",""Apr 2026!$A:$AI""),35,0)+vlookup(A6,importrange(""https://docs.google.com/spreadsheets/d/1arpJoJSlKHkJ-Zn4sJxqp3okt8tUTIYCnkob2xnYiCU/edit?usp=sharing"",""May 2026!$A:$AI"&amp;"""),35,0)+vlookup(A6,importrange(""https://docs.google.com/spreadsheets/d/1arpJoJSlKHkJ-Zn4sJxqp3okt8tUTIYCnkob2xnYiCU/edit?usp=sharing"",""June 2026!$A:$AI""),35,0)+vlookup(A6,importrange(""https://docs.google.com/spreadsheets/d/1arpJoJSlKHkJ-Zn4sJxqp3ok"&amp;"t8tUTIYCnkob2xnYiCU/edit?usp=sharing"",""Current Month!$A:$AI""),35,0)"),6.0)</f>
        <v>6</v>
      </c>
      <c r="D6" s="9">
        <f>IFERROR(__xludf.DUMMYFUNCTION("vlookup(A6,importrange(""https://docs.google.com/spreadsheets/d/1arpJoJSlKHkJ-Zn4sJxqp3okt8tUTIYCnkob2xnYiCU/edit?usp=sharing"",""Jan 2026!$A:$AJ""),36,0)+vlookup(A6,importrange(""https://docs.google.com/spreadsheets/d/1arpJoJSlKHkJ-Zn4sJxqp3okt8tUTIYCnko"&amp;"b2xnYiCU/edit?usp=sharing"",""Feb 2026!$A:$AJ""),36,0)+vlookup(A6,importrange(""https://docs.google.com/spreadsheets/d/1arpJoJSlKHkJ-Zn4sJxqp3okt8tUTIYCnkob2xnYiCU/edit?usp=sharing"",""Mar 2026!$A:$AJ""),36,0)+vlookup(A6,importrange(""https://docs.google."&amp;"com/spreadsheets/d/1arpJoJSlKHkJ-Zn4sJxqp3okt8tUTIYCnkob2xnYiCU/edit?usp=sharing"",""Apr 2026!$A:$AJ""),36,0)+vlookup(A6,importrange(""https://docs.google.com/spreadsheets/d/1arpJoJSlKHkJ-Zn4sJxqp3okt8tUTIYCnkob2xnYiCU/edit?usp=sharing"",""May 2026!$A:$AJ"&amp;"""),36,0)+vlookup(A6,importrange(""https://docs.google.com/spreadsheets/d/1arpJoJSlKHkJ-Zn4sJxqp3okt8tUTIYCnkob2xnYiCU/edit?usp=sharing"",""June 2026!$A:$AJ""),36,0)+vlookup(A6,importrange(""https://docs.google.com/spreadsheets/d/1arpJoJSlKHkJ-Zn4sJxqp3ok"&amp;"t8tUTIYCnkob2xnYiCU/edit?usp=sharing"",""Current Month!$A:$AJ""),36,0)"),0.0)</f>
        <v>0</v>
      </c>
      <c r="E6" s="9">
        <f>IFERROR(__xludf.DUMMYFUNCTION("vlookup(A6,importrange(""https://docs.google.com/spreadsheets/d/1arpJoJSlKHkJ-Zn4sJxqp3okt8tUTIYCnkob2xnYiCU/edit?usp=sharing"",""Jan 2026!$A:$AK""),37,0)+vlookup(A6,importrange(""https://docs.google.com/spreadsheets/d/1arpJoJSlKHkJ-Zn4sJxqp3okt8tUTIYCnko"&amp;"b2xnYiCU/edit?usp=sharing"",""Feb 2026!$A:$AK""),37,0)+vlookup(A6,importrange(""https://docs.google.com/spreadsheets/d/1arpJoJSlKHkJ-Zn4sJxqp3okt8tUTIYCnkob2xnYiCU/edit?usp=sharing"",""Mar 2026!$A:$AK""),37,0)+vlookup(A6,importrange(""https://docs.google."&amp;"com/spreadsheets/d/1arpJoJSlKHkJ-Zn4sJxqp3okt8tUTIYCnkob2xnYiCU/edit?usp=sharing"",""Apr 2026!$A:$AK""),37,0)+vlookup(A6,importrange(""https://docs.google.com/spreadsheets/d/1arpJoJSlKHkJ-Zn4sJxqp3okt8tUTIYCnkob2xnYiCU/edit?usp=sharing"",""May 2026!$A:$AK"&amp;"""),37,0)+vlookup(A6,importrange(""https://docs.google.com/spreadsheets/d/1arpJoJSlKHkJ-Zn4sJxqp3okt8tUTIYCnkob2xnYiCU/edit?usp=sharing"",""June 2026!$A:$AK""),37,0)+vlookup(A6,importrange(""https://docs.google.com/spreadsheets/d/1arpJoJSlKHkJ-Zn4sJxqp3ok"&amp;"t8tUTIYCnkob2xnYiCU/edit?usp=sharing"",""Current Month!$A:$AK""),37,0)"),0.0)</f>
        <v>0</v>
      </c>
      <c r="F6" s="9">
        <f t="shared" si="1"/>
        <v>3</v>
      </c>
      <c r="G6" s="9">
        <f>IFERROR(__xludf.DUMMYFUNCTION("vlookup(A6,importrange(""https://docs.google.com/spreadsheets/d/1arpJoJSlKHkJ-Zn4sJxqp3okt8tUTIYCnkob2xnYiCU/edit?usp=sharing"",""Jan 2026!$A:$AN""),40,0)+vlookup(A6,importrange(""https://docs.google.com/spreadsheets/d/1arpJoJSlKHkJ-Zn4sJxqp3okt8tUTIYCnko"&amp;"b2xnYiCU/edit?usp=sharing"",""Feb 2026!$A:$AN""),40,0)+vlookup(A6,importrange(""https://docs.google.com/spreadsheets/d/1arpJoJSlKHkJ-Zn4sJxqp3okt8tUTIYCnkob2xnYiCU/edit?usp=sharing"",""Mar 2026!$A:$AN""),40,0)+vlookup(A6,importrange(""https://docs.google."&amp;"com/spreadsheets/d/1arpJoJSlKHkJ-Zn4sJxqp3okt8tUTIYCnkob2xnYiCU/edit?usp=sharing"",""Apr 2026!$A:$AN""),40,0)+vlookup(A6,importrange(""https://docs.google.com/spreadsheets/d/1arpJoJSlKHkJ-Zn4sJxqp3okt8tUTIYCnkob2xnYiCU/edit?usp=sharing"",""May 2026!$A:$AN"&amp;"""),40,0)+vlookup(A6,importrange(""https://docs.google.com/spreadsheets/d/1arpJoJSlKHkJ-Zn4sJxqp3okt8tUTIYCnkob2xnYiCU/edit?usp=sharing"",""June 2026!$A:$AN""),40,0)+vlookup(A6,importrange(""https://docs.google.com/spreadsheets/d/1arpJoJSlKHkJ-Zn4sJxqp3ok"&amp;"t8tUTIYCnkob2xnYiCU/edit?usp=sharing"",""Current Month!$A:$AN""),40,0)"),1.0)</f>
        <v>1</v>
      </c>
      <c r="H6" s="9">
        <v>12.0</v>
      </c>
      <c r="I6" s="10">
        <f t="shared" si="2"/>
        <v>10</v>
      </c>
      <c r="J6" s="9">
        <f>IFERROR(__xludf.DUMMYFUNCTION("vlookup(A6,importrange(""https://docs.google.com/spreadsheets/d/1arpJoJSlKHkJ-Zn4sJxqp3okt8tUTIYCnkob2xnYiCU/edit?usp=sharing"",""Jan 2026!$A:$AP""),41,0)+vlookup(A6,importrange(""https://docs.google.com/spreadsheets/d/1arpJoJSlKHkJ-Zn4sJxqp3okt8tUTIYCnko"&amp;"b2xnYiCU/edit?usp=sharing"",""Feb 2026!$A:$AP""),41,0)+vlookup(A6,importrange(""https://docs.google.com/spreadsheets/d/1arpJoJSlKHkJ-Zn4sJxqp3okt8tUTIYCnkob2xnYiCU/edit?usp=sharing"",""Mar 2026!$A:$AP""),41,0)+vlookup(A6,importrange(""https://docs.google."&amp;"com/spreadsheets/d/1arpJoJSlKHkJ-Zn4sJxqp3okt8tUTIYCnkob2xnYiCU/edit?usp=sharing"",""Current Month!$A:$AP""),41,0)"),24.0)</f>
        <v>24</v>
      </c>
      <c r="K6" s="11">
        <f>IFERROR(__xludf.DUMMYFUNCTION("J6/((vlookup(A6,importrange(""https://docs.google.com/spreadsheets/d/1arpJoJSlKHkJ-Zn4sJxqp3okt8tUTIYCnkob2xnYiCU/edit?usp=sharing"",""Jan 2026!$A:$AG""),33,0))+(vlookup(A6,importrange(""https://docs.google.com/spreadsheets/d/1arpJoJSlKHkJ-Zn4sJxqp3okt8tU"&amp;"TIYCnkob2xnYiCU/edit?usp=sharing"",""Feb 2026!$A:$AG""),33,0))+(vlookup(A6,importrange(""https://docs.google.com/spreadsheets/d/1arpJoJSlKHkJ-Zn4sJxqp3okt8tUTIYCnkob2xnYiCU/edit?usp=sharing"",""Mar 2026!$A:$AG""),33,0))+(vlookup(A6,importrange(""https://d"&amp;"ocs.google.com/spreadsheets/d/1arpJoJSlKHkJ-Zn4sJxqp3okt8tUTIYCnkob2xnYiCU/edit?usp=sharing"",""Apr 2026!$A:$AG""),33,0))+(vlookup(A6,importrange(""https://docs.google.com/spreadsheets/d/1arpJoJSlKHkJ-Zn4sJxqp3okt8tUTIYCnkob2xnYiCU/edit?usp=sharing"",""Cu"&amp;"rrent Month!$A:$AG""),33,0)))"),0.2553191489361702)</f>
        <v>0.2553191489</v>
      </c>
      <c r="L6" s="9">
        <f>IFERROR(__xludf.DUMMYFUNCTION("vlookup(A6,importrange(""https://docs.google.com/spreadsheets/d/1arpJoJSlKHkJ-Zn4sJxqp3okt8tUTIYCnkob2xnYiCU/edit?usp=sharing"",""Current Month!$A:$AP""),42,0)+vlookup(A6,importrange(""https://docs.google.com/spreadsheets/d/1arpJoJSlKHkJ-Zn4sJxqp3okt8tUTI"&amp;"YCnkob2xnYiCU/edit?usp=sharing"",""Jan 2026!$A:$AP""),42,0)+vlookup(A6,importrange(""https://docs.google.com/spreadsheets/d/1arpJoJSlKHkJ-Zn4sJxqp3okt8tUTIYCnkob2xnYiCU/edit?usp=sharing"",""Feb 2026!$A:$AP""),42,0)+vlookup(A6,importrange(""https://docs.go"&amp;"ogle.com/spreadsheets/d/1arpJoJSlKHkJ-Zn4sJxqp3okt8tUTIYCnkob2xnYiCU/edit?usp=sharing"",""Mar 2026!$A:$AP""),42,0)+vlookup(A6,importrange(""https://docs.google.com/spreadsheets/d/1arpJoJSlKHkJ-Zn4sJxqp3okt8tUTIYCnkob2xnYiCU/edit?usp=sharing"",""Apr 2026!$"&amp;"A:$AP""),42,0)"),10.0)</f>
        <v>10</v>
      </c>
    </row>
    <row r="7">
      <c r="A7" s="8" t="s">
        <v>16</v>
      </c>
      <c r="B7" s="9">
        <f>IFERROR(__xludf.DUMMYFUNCTION("vlookup(A7,importrange(""https://docs.google.com/spreadsheets/d/1arpJoJSlKHkJ-Zn4sJxqp3okt8tUTIYCnkob2xnYiCU/edit?usp=sharing"",""Jan 2026!$A:$AH""),34,0)+vlookup(A7,importrange(""https://docs.google.com/spreadsheets/d/1arpJoJSlKHkJ-Zn4sJxqp3okt8tUTIYCnko"&amp;"b2xnYiCU/edit?usp=sharing"",""Feb 2026!$A:$AH""),34,0)+vlookup(A7,importrange(""https://docs.google.com/spreadsheets/d/1arpJoJSlKHkJ-Zn4sJxqp3okt8tUTIYCnkob2xnYiCU/edit?usp=sharing"",""Mar 2026!$A:$AH""),34,0)+vlookup(A7,importrange(""https://docs.google."&amp;"com/spreadsheets/d/1arpJoJSlKHkJ-Zn4sJxqp3okt8tUTIYCnkob2xnYiCU/edit?usp=sharing"",""Apr 2026!$A:$AH""),34,0)+vlookup(A7,importrange(""https://docs.google.com/spreadsheets/d/1arpJoJSlKHkJ-Zn4sJxqp3okt8tUTIYCnkob2xnYiCU/edit?usp=sharing"",""May 2026!$A:$AH"&amp;"""),34,0)+vlookup(A7,importrange(""https://docs.google.com/spreadsheets/d/1arpJoJSlKHkJ-Zn4sJxqp3okt8tUTIYCnkob2xnYiCU/edit?usp=sharing"",""June 2026!$A:$AH""),34,0)+vlookup(A7,importrange(""https://docs.google.com/spreadsheets/d/1arpJoJSlKHkJ-Zn4sJxqp3ok"&amp;"t8tUTIYCnkob2xnYiCU/edit?usp=sharing"",""Current Month!$A:$AH""),34,0)"),7.0)</f>
        <v>7</v>
      </c>
      <c r="C7" s="9">
        <f>IFERROR(__xludf.DUMMYFUNCTION("vlookup(A7,importrange(""https://docs.google.com/spreadsheets/d/1arpJoJSlKHkJ-Zn4sJxqp3okt8tUTIYCnkob2xnYiCU/edit?usp=sharing"",""Jan 2026!$A:$AI""),35,0)+vlookup(A7,importrange(""https://docs.google.com/spreadsheets/d/1arpJoJSlKHkJ-Zn4sJxqp3okt8tUTIYCnko"&amp;"b2xnYiCU/edit?usp=sharing"",""Feb 2026!$A:$AI""),35,0)+vlookup(A7,importrange(""https://docs.google.com/spreadsheets/d/1arpJoJSlKHkJ-Zn4sJxqp3okt8tUTIYCnkob2xnYiCU/edit?usp=sharing"",""Mar 2026!$A:$AI""),35,0)+vlookup(A7,importrange(""https://docs.google."&amp;"com/spreadsheets/d/1arpJoJSlKHkJ-Zn4sJxqp3okt8tUTIYCnkob2xnYiCU/edit?usp=sharing"",""Apr 2026!$A:$AI""),35,0)+vlookup(A7,importrange(""https://docs.google.com/spreadsheets/d/1arpJoJSlKHkJ-Zn4sJxqp3okt8tUTIYCnkob2xnYiCU/edit?usp=sharing"",""May 2026!$A:$AI"&amp;"""),35,0)+vlookup(A7,importrange(""https://docs.google.com/spreadsheets/d/1arpJoJSlKHkJ-Zn4sJxqp3okt8tUTIYCnkob2xnYiCU/edit?usp=sharing"",""June 2026!$A:$AI""),35,0)+vlookup(A7,importrange(""https://docs.google.com/spreadsheets/d/1arpJoJSlKHkJ-Zn4sJxqp3ok"&amp;"t8tUTIYCnkob2xnYiCU/edit?usp=sharing"",""Current Month!$A:$AI""),35,0)"),2.0)</f>
        <v>2</v>
      </c>
      <c r="D7" s="9">
        <f>IFERROR(__xludf.DUMMYFUNCTION("vlookup(A7,importrange(""https://docs.google.com/spreadsheets/d/1arpJoJSlKHkJ-Zn4sJxqp3okt8tUTIYCnkob2xnYiCU/edit?usp=sharing"",""Jan 2026!$A:$AJ""),36,0)+vlookup(A7,importrange(""https://docs.google.com/spreadsheets/d/1arpJoJSlKHkJ-Zn4sJxqp3okt8tUTIYCnko"&amp;"b2xnYiCU/edit?usp=sharing"",""Feb 2026!$A:$AJ""),36,0)+vlookup(A7,importrange(""https://docs.google.com/spreadsheets/d/1arpJoJSlKHkJ-Zn4sJxqp3okt8tUTIYCnkob2xnYiCU/edit?usp=sharing"",""Mar 2026!$A:$AJ""),36,0)+vlookup(A7,importrange(""https://docs.google."&amp;"com/spreadsheets/d/1arpJoJSlKHkJ-Zn4sJxqp3okt8tUTIYCnkob2xnYiCU/edit?usp=sharing"",""Apr 2026!$A:$AJ""),36,0)+vlookup(A7,importrange(""https://docs.google.com/spreadsheets/d/1arpJoJSlKHkJ-Zn4sJxqp3okt8tUTIYCnkob2xnYiCU/edit?usp=sharing"",""May 2026!$A:$AJ"&amp;"""),36,0)+vlookup(A7,importrange(""https://docs.google.com/spreadsheets/d/1arpJoJSlKHkJ-Zn4sJxqp3okt8tUTIYCnkob2xnYiCU/edit?usp=sharing"",""June 2026!$A:$AJ""),36,0)+vlookup(A7,importrange(""https://docs.google.com/spreadsheets/d/1arpJoJSlKHkJ-Zn4sJxqp3ok"&amp;"t8tUTIYCnkob2xnYiCU/edit?usp=sharing"",""Current Month!$A:$AJ""),36,0)"),0.0)</f>
        <v>0</v>
      </c>
      <c r="E7" s="9">
        <f>IFERROR(__xludf.DUMMYFUNCTION("vlookup(A7,importrange(""https://docs.google.com/spreadsheets/d/1arpJoJSlKHkJ-Zn4sJxqp3okt8tUTIYCnkob2xnYiCU/edit?usp=sharing"",""Jan 2026!$A:$AK""),37,0)+vlookup(A7,importrange(""https://docs.google.com/spreadsheets/d/1arpJoJSlKHkJ-Zn4sJxqp3okt8tUTIYCnko"&amp;"b2xnYiCU/edit?usp=sharing"",""Feb 2026!$A:$AK""),37,0)+vlookup(A7,importrange(""https://docs.google.com/spreadsheets/d/1arpJoJSlKHkJ-Zn4sJxqp3okt8tUTIYCnkob2xnYiCU/edit?usp=sharing"",""Mar 2026!$A:$AK""),37,0)+vlookup(A7,importrange(""https://docs.google."&amp;"com/spreadsheets/d/1arpJoJSlKHkJ-Zn4sJxqp3okt8tUTIYCnkob2xnYiCU/edit?usp=sharing"",""Apr 2026!$A:$AK""),37,0)+vlookup(A7,importrange(""https://docs.google.com/spreadsheets/d/1arpJoJSlKHkJ-Zn4sJxqp3okt8tUTIYCnkob2xnYiCU/edit?usp=sharing"",""May 2026!$A:$AK"&amp;"""),37,0)+vlookup(A7,importrange(""https://docs.google.com/spreadsheets/d/1arpJoJSlKHkJ-Zn4sJxqp3okt8tUTIYCnkob2xnYiCU/edit?usp=sharing"",""June 2026!$A:$AK""),37,0)+vlookup(A7,importrange(""https://docs.google.com/spreadsheets/d/1arpJoJSlKHkJ-Zn4sJxqp3ok"&amp;"t8tUTIYCnkob2xnYiCU/edit?usp=sharing"",""Current Month!$A:$AK""),37,0)"),0.0)</f>
        <v>0</v>
      </c>
      <c r="F7" s="9">
        <f t="shared" si="1"/>
        <v>1</v>
      </c>
      <c r="G7" s="9">
        <f>IFERROR(__xludf.DUMMYFUNCTION("vlookup(A7,importrange(""https://docs.google.com/spreadsheets/d/1arpJoJSlKHkJ-Zn4sJxqp3okt8tUTIYCnkob2xnYiCU/edit?usp=sharing"",""Jan 2026!$A:$AN""),40,0)+vlookup(A7,importrange(""https://docs.google.com/spreadsheets/d/1arpJoJSlKHkJ-Zn4sJxqp3okt8tUTIYCnko"&amp;"b2xnYiCU/edit?usp=sharing"",""Feb 2026!$A:$AN""),40,0)+vlookup(A7,importrange(""https://docs.google.com/spreadsheets/d/1arpJoJSlKHkJ-Zn4sJxqp3okt8tUTIYCnkob2xnYiCU/edit?usp=sharing"",""Mar 2026!$A:$AN""),40,0)+vlookup(A7,importrange(""https://docs.google."&amp;"com/spreadsheets/d/1arpJoJSlKHkJ-Zn4sJxqp3okt8tUTIYCnkob2xnYiCU/edit?usp=sharing"",""Apr 2026!$A:$AN""),40,0)+vlookup(A7,importrange(""https://docs.google.com/spreadsheets/d/1arpJoJSlKHkJ-Zn4sJxqp3okt8tUTIYCnkob2xnYiCU/edit?usp=sharing"",""May 2026!$A:$AN"&amp;"""),40,0)+vlookup(A7,importrange(""https://docs.google.com/spreadsheets/d/1arpJoJSlKHkJ-Zn4sJxqp3okt8tUTIYCnkob2xnYiCU/edit?usp=sharing"",""June 2026!$A:$AN""),40,0)+vlookup(A7,importrange(""https://docs.google.com/spreadsheets/d/1arpJoJSlKHkJ-Zn4sJxqp3ok"&amp;"t8tUTIYCnkob2xnYiCU/edit?usp=sharing"",""Current Month!$A:$AN""),40,0)"),3.0)</f>
        <v>3</v>
      </c>
      <c r="H7" s="9">
        <v>12.0</v>
      </c>
      <c r="I7" s="10">
        <f t="shared" si="2"/>
        <v>12</v>
      </c>
      <c r="J7" s="9">
        <f>IFERROR(__xludf.DUMMYFUNCTION("vlookup(A7,importrange(""https://docs.google.com/spreadsheets/d/1arpJoJSlKHkJ-Zn4sJxqp3okt8tUTIYCnkob2xnYiCU/edit?usp=sharing"",""Jan 2026!$A:$AP""),41,0)+vlookup(A7,importrange(""https://docs.google.com/spreadsheets/d/1arpJoJSlKHkJ-Zn4sJxqp3okt8tUTIYCnko"&amp;"b2xnYiCU/edit?usp=sharing"",""Feb 2026!$A:$AP""),41,0)+vlookup(A7,importrange(""https://docs.google.com/spreadsheets/d/1arpJoJSlKHkJ-Zn4sJxqp3okt8tUTIYCnkob2xnYiCU/edit?usp=sharing"",""Mar 2026!$A:$AP""),41,0)+vlookup(A7,importrange(""https://docs.google."&amp;"com/spreadsheets/d/1arpJoJSlKHkJ-Zn4sJxqp3okt8tUTIYCnkob2xnYiCU/edit?usp=sharing"",""Current Month!$A:$AP""),41,0)"),9.0)</f>
        <v>9</v>
      </c>
      <c r="K7" s="11">
        <f>IFERROR(__xludf.DUMMYFUNCTION("J7/((vlookup(A7,importrange(""https://docs.google.com/spreadsheets/d/1arpJoJSlKHkJ-Zn4sJxqp3okt8tUTIYCnkob2xnYiCU/edit?usp=sharing"",""Jan 2026!$A:$AG""),33,0))+(vlookup(A7,importrange(""https://docs.google.com/spreadsheets/d/1arpJoJSlKHkJ-Zn4sJxqp3okt8tU"&amp;"TIYCnkob2xnYiCU/edit?usp=sharing"",""Feb 2026!$A:$AG""),33,0))+(vlookup(A7,importrange(""https://docs.google.com/spreadsheets/d/1arpJoJSlKHkJ-Zn4sJxqp3okt8tUTIYCnkob2xnYiCU/edit?usp=sharing"",""Mar 2026!$A:$AG""),33,0))+(vlookup(A7,importrange(""https://d"&amp;"ocs.google.com/spreadsheets/d/1arpJoJSlKHkJ-Zn4sJxqp3okt8tUTIYCnkob2xnYiCU/edit?usp=sharing"",""Apr 2026!$A:$AG""),33,0))+(vlookup(A7,importrange(""https://docs.google.com/spreadsheets/d/1arpJoJSlKHkJ-Zn4sJxqp3okt8tUTIYCnkob2xnYiCU/edit?usp=sharing"",""Cu"&amp;"rrent Month!$A:$AG""),33,0)))"),0.0967741935483871)</f>
        <v>0.09677419355</v>
      </c>
      <c r="L7" s="9">
        <f>IFERROR(__xludf.DUMMYFUNCTION("vlookup(A7,importrange(""https://docs.google.com/spreadsheets/d/1arpJoJSlKHkJ-Zn4sJxqp3okt8tUTIYCnkob2xnYiCU/edit?usp=sharing"",""Current Month!$A:$AP""),42,0)+vlookup(A7,importrange(""https://docs.google.com/spreadsheets/d/1arpJoJSlKHkJ-Zn4sJxqp3okt8tUTI"&amp;"YCnkob2xnYiCU/edit?usp=sharing"",""Jan 2026!$A:$AP""),42,0)+vlookup(A7,importrange(""https://docs.google.com/spreadsheets/d/1arpJoJSlKHkJ-Zn4sJxqp3okt8tUTIYCnkob2xnYiCU/edit?usp=sharing"",""Feb 2026!$A:$AP""),42,0)+vlookup(A7,importrange(""https://docs.go"&amp;"ogle.com/spreadsheets/d/1arpJoJSlKHkJ-Zn4sJxqp3okt8tUTIYCnkob2xnYiCU/edit?usp=sharing"",""Mar 2026!$A:$AP""),42,0)+vlookup(A7,importrange(""https://docs.google.com/spreadsheets/d/1arpJoJSlKHkJ-Zn4sJxqp3okt8tUTIYCnkob2xnYiCU/edit?usp=sharing"",""Apr 2026!$"&amp;"A:$AP""),42,0)"),1.0)</f>
        <v>1</v>
      </c>
    </row>
    <row r="8">
      <c r="A8" s="8" t="s">
        <v>17</v>
      </c>
      <c r="B8" s="9">
        <f>IFERROR(__xludf.DUMMYFUNCTION("vlookup(A8,importrange(""https://docs.google.com/spreadsheets/d/1arpJoJSlKHkJ-Zn4sJxqp3okt8tUTIYCnkob2xnYiCU/edit?usp=sharing"",""Jan 2026!$A:$AH""),34,0)+vlookup(A8,importrange(""https://docs.google.com/spreadsheets/d/1arpJoJSlKHkJ-Zn4sJxqp3okt8tUTIYCnko"&amp;"b2xnYiCU/edit?usp=sharing"",""Feb 2026!$A:$AH""),34,0)+vlookup(A8,importrange(""https://docs.google.com/spreadsheets/d/1arpJoJSlKHkJ-Zn4sJxqp3okt8tUTIYCnkob2xnYiCU/edit?usp=sharing"",""Mar 2026!$A:$AH""),34,0)+vlookup(A8,importrange(""https://docs.google."&amp;"com/spreadsheets/d/1arpJoJSlKHkJ-Zn4sJxqp3okt8tUTIYCnkob2xnYiCU/edit?usp=sharing"",""Apr 2026!$A:$AH""),34,0)+vlookup(A8,importrange(""https://docs.google.com/spreadsheets/d/1arpJoJSlKHkJ-Zn4sJxqp3okt8tUTIYCnkob2xnYiCU/edit?usp=sharing"",""May 2026!$A:$AH"&amp;"""),34,0)+vlookup(A8,importrange(""https://docs.google.com/spreadsheets/d/1arpJoJSlKHkJ-Zn4sJxqp3okt8tUTIYCnkob2xnYiCU/edit?usp=sharing"",""June 2026!$A:$AH""),34,0)+vlookup(A8,importrange(""https://docs.google.com/spreadsheets/d/1arpJoJSlKHkJ-Zn4sJxqp3ok"&amp;"t8tUTIYCnkob2xnYiCU/edit?usp=sharing"",""Current Month!$A:$AH""),34,0)"),8.0)</f>
        <v>8</v>
      </c>
      <c r="C8" s="9">
        <f>IFERROR(__xludf.DUMMYFUNCTION("vlookup(A8,importrange(""https://docs.google.com/spreadsheets/d/1arpJoJSlKHkJ-Zn4sJxqp3okt8tUTIYCnkob2xnYiCU/edit?usp=sharing"",""Jan 2026!$A:$AI""),35,0)+vlookup(A8,importrange(""https://docs.google.com/spreadsheets/d/1arpJoJSlKHkJ-Zn4sJxqp3okt8tUTIYCnko"&amp;"b2xnYiCU/edit?usp=sharing"",""Feb 2026!$A:$AI""),35,0)+vlookup(A8,importrange(""https://docs.google.com/spreadsheets/d/1arpJoJSlKHkJ-Zn4sJxqp3okt8tUTIYCnkob2xnYiCU/edit?usp=sharing"",""Mar 2026!$A:$AI""),35,0)+vlookup(A8,importrange(""https://docs.google."&amp;"com/spreadsheets/d/1arpJoJSlKHkJ-Zn4sJxqp3okt8tUTIYCnkob2xnYiCU/edit?usp=sharing"",""Apr 2026!$A:$AI""),35,0)+vlookup(A8,importrange(""https://docs.google.com/spreadsheets/d/1arpJoJSlKHkJ-Zn4sJxqp3okt8tUTIYCnkob2xnYiCU/edit?usp=sharing"",""May 2026!$A:$AI"&amp;"""),35,0)+vlookup(A8,importrange(""https://docs.google.com/spreadsheets/d/1arpJoJSlKHkJ-Zn4sJxqp3okt8tUTIYCnkob2xnYiCU/edit?usp=sharing"",""June 2026!$A:$AI""),35,0)+vlookup(A8,importrange(""https://docs.google.com/spreadsheets/d/1arpJoJSlKHkJ-Zn4sJxqp3ok"&amp;"t8tUTIYCnkob2xnYiCU/edit?usp=sharing"",""Current Month!$A:$AI""),35,0)"),7.0)</f>
        <v>7</v>
      </c>
      <c r="D8" s="9">
        <f>IFERROR(__xludf.DUMMYFUNCTION("vlookup(A8,importrange(""https://docs.google.com/spreadsheets/d/1arpJoJSlKHkJ-Zn4sJxqp3okt8tUTIYCnkob2xnYiCU/edit?usp=sharing"",""Jan 2026!$A:$AJ""),36,0)+vlookup(A8,importrange(""https://docs.google.com/spreadsheets/d/1arpJoJSlKHkJ-Zn4sJxqp3okt8tUTIYCnko"&amp;"b2xnYiCU/edit?usp=sharing"",""Feb 2026!$A:$AJ""),36,0)+vlookup(A8,importrange(""https://docs.google.com/spreadsheets/d/1arpJoJSlKHkJ-Zn4sJxqp3okt8tUTIYCnkob2xnYiCU/edit?usp=sharing"",""Mar 2026!$A:$AJ""),36,0)+vlookup(A8,importrange(""https://docs.google."&amp;"com/spreadsheets/d/1arpJoJSlKHkJ-Zn4sJxqp3okt8tUTIYCnkob2xnYiCU/edit?usp=sharing"",""Apr 2026!$A:$AJ""),36,0)+vlookup(A8,importrange(""https://docs.google.com/spreadsheets/d/1arpJoJSlKHkJ-Zn4sJxqp3okt8tUTIYCnkob2xnYiCU/edit?usp=sharing"",""May 2026!$A:$AJ"&amp;"""),36,0)+vlookup(A8,importrange(""https://docs.google.com/spreadsheets/d/1arpJoJSlKHkJ-Zn4sJxqp3okt8tUTIYCnkob2xnYiCU/edit?usp=sharing"",""June 2026!$A:$AJ""),36,0)+vlookup(A8,importrange(""https://docs.google.com/spreadsheets/d/1arpJoJSlKHkJ-Zn4sJxqp3ok"&amp;"t8tUTIYCnkob2xnYiCU/edit?usp=sharing"",""Current Month!$A:$AJ""),36,0)"),0.0)</f>
        <v>0</v>
      </c>
      <c r="E8" s="9">
        <f>IFERROR(__xludf.DUMMYFUNCTION("vlookup(A8,importrange(""https://docs.google.com/spreadsheets/d/1arpJoJSlKHkJ-Zn4sJxqp3okt8tUTIYCnkob2xnYiCU/edit?usp=sharing"",""Jan 2026!$A:$AK""),37,0)+vlookup(A8,importrange(""https://docs.google.com/spreadsheets/d/1arpJoJSlKHkJ-Zn4sJxqp3okt8tUTIYCnko"&amp;"b2xnYiCU/edit?usp=sharing"",""Feb 2026!$A:$AK""),37,0)+vlookup(A8,importrange(""https://docs.google.com/spreadsheets/d/1arpJoJSlKHkJ-Zn4sJxqp3okt8tUTIYCnkob2xnYiCU/edit?usp=sharing"",""Mar 2026!$A:$AK""),37,0)+vlookup(A8,importrange(""https://docs.google."&amp;"com/spreadsheets/d/1arpJoJSlKHkJ-Zn4sJxqp3okt8tUTIYCnkob2xnYiCU/edit?usp=sharing"",""Apr 2026!$A:$AK""),37,0)+vlookup(A8,importrange(""https://docs.google.com/spreadsheets/d/1arpJoJSlKHkJ-Zn4sJxqp3okt8tUTIYCnkob2xnYiCU/edit?usp=sharing"",""May 2026!$A:$AK"&amp;"""),37,0)+vlookup(A8,importrange(""https://docs.google.com/spreadsheets/d/1arpJoJSlKHkJ-Zn4sJxqp3okt8tUTIYCnkob2xnYiCU/edit?usp=sharing"",""June 2026!$A:$AK""),37,0)+vlookup(A8,importrange(""https://docs.google.com/spreadsheets/d/1arpJoJSlKHkJ-Zn4sJxqp3ok"&amp;"t8tUTIYCnkob2xnYiCU/edit?usp=sharing"",""Current Month!$A:$AK""),37,0)"),0.0)</f>
        <v>0</v>
      </c>
      <c r="F8" s="9">
        <f t="shared" si="1"/>
        <v>4</v>
      </c>
      <c r="G8" s="9">
        <f>IFERROR(__xludf.DUMMYFUNCTION("vlookup(A8,importrange(""https://docs.google.com/spreadsheets/d/1arpJoJSlKHkJ-Zn4sJxqp3okt8tUTIYCnkob2xnYiCU/edit?usp=sharing"",""Jan 2026!$A:$AN""),40,0)+vlookup(A8,importrange(""https://docs.google.com/spreadsheets/d/1arpJoJSlKHkJ-Zn4sJxqp3okt8tUTIYCnko"&amp;"b2xnYiCU/edit?usp=sharing"",""Feb 2026!$A:$AN""),40,0)+vlookup(A8,importrange(""https://docs.google.com/spreadsheets/d/1arpJoJSlKHkJ-Zn4sJxqp3okt8tUTIYCnkob2xnYiCU/edit?usp=sharing"",""Mar 2026!$A:$AN""),40,0)+vlookup(A8,importrange(""https://docs.google."&amp;"com/spreadsheets/d/1arpJoJSlKHkJ-Zn4sJxqp3okt8tUTIYCnkob2xnYiCU/edit?usp=sharing"",""Apr 2026!$A:$AN""),40,0)+vlookup(A8,importrange(""https://docs.google.com/spreadsheets/d/1arpJoJSlKHkJ-Zn4sJxqp3okt8tUTIYCnkob2xnYiCU/edit?usp=sharing"",""May 2026!$A:$AN"&amp;"""),40,0)+vlookup(A8,importrange(""https://docs.google.com/spreadsheets/d/1arpJoJSlKHkJ-Zn4sJxqp3okt8tUTIYCnkob2xnYiCU/edit?usp=sharing"",""June 2026!$A:$AN""),40,0)+vlookup(A8,importrange(""https://docs.google.com/spreadsheets/d/1arpJoJSlKHkJ-Zn4sJxqp3ok"&amp;"t8tUTIYCnkob2xnYiCU/edit?usp=sharing"",""Current Month!$A:$AN""),40,0)"),0.0)</f>
        <v>0</v>
      </c>
      <c r="H8" s="9">
        <v>12.0</v>
      </c>
      <c r="I8" s="10">
        <f t="shared" si="2"/>
        <v>6</v>
      </c>
      <c r="J8" s="9">
        <f>IFERROR(__xludf.DUMMYFUNCTION("vlookup(A8,importrange(""https://docs.google.com/spreadsheets/d/1arpJoJSlKHkJ-Zn4sJxqp3okt8tUTIYCnkob2xnYiCU/edit?usp=sharing"",""Jan 2026!$A:$AP""),41,0)+vlookup(A8,importrange(""https://docs.google.com/spreadsheets/d/1arpJoJSlKHkJ-Zn4sJxqp3okt8tUTIYCnko"&amp;"b2xnYiCU/edit?usp=sharing"",""Feb 2026!$A:$AP""),41,0)+vlookup(A8,importrange(""https://docs.google.com/spreadsheets/d/1arpJoJSlKHkJ-Zn4sJxqp3okt8tUTIYCnkob2xnYiCU/edit?usp=sharing"",""Mar 2026!$A:$AP""),41,0)+vlookup(A8,importrange(""https://docs.google."&amp;"com/spreadsheets/d/1arpJoJSlKHkJ-Zn4sJxqp3okt8tUTIYCnkob2xnYiCU/edit?usp=sharing"",""Current Month!$A:$AP""),41,0)"),20.0)</f>
        <v>20</v>
      </c>
      <c r="K8" s="11">
        <f>IFERROR(__xludf.DUMMYFUNCTION("J8/((vlookup(A8,importrange(""https://docs.google.com/spreadsheets/d/1arpJoJSlKHkJ-Zn4sJxqp3okt8tUTIYCnkob2xnYiCU/edit?usp=sharing"",""Jan 2026!$A:$AG""),33,0))+(vlookup(A8,importrange(""https://docs.google.com/spreadsheets/d/1arpJoJSlKHkJ-Zn4sJxqp3okt8tU"&amp;"TIYCnkob2xnYiCU/edit?usp=sharing"",""Feb 2026!$A:$AG""),33,0))+(vlookup(A8,importrange(""https://docs.google.com/spreadsheets/d/1arpJoJSlKHkJ-Zn4sJxqp3okt8tUTIYCnkob2xnYiCU/edit?usp=sharing"",""Mar 2026!$A:$AG""),33,0))+(vlookup(A8,importrange(""https://d"&amp;"ocs.google.com/spreadsheets/d/1arpJoJSlKHkJ-Zn4sJxqp3okt8tUTIYCnkob2xnYiCU/edit?usp=sharing"",""Apr 2026!$A:$AG""),33,0))+(vlookup(A8,importrange(""https://docs.google.com/spreadsheets/d/1arpJoJSlKHkJ-Zn4sJxqp3okt8tUTIYCnkob2xnYiCU/edit?usp=sharing"",""Cu"&amp;"rrent Month!$A:$AG""),33,0)))"),0.22727272727272727)</f>
        <v>0.2272727273</v>
      </c>
      <c r="L8" s="9">
        <f>IFERROR(__xludf.DUMMYFUNCTION("vlookup(A8,importrange(""https://docs.google.com/spreadsheets/d/1arpJoJSlKHkJ-Zn4sJxqp3okt8tUTIYCnkob2xnYiCU/edit?usp=sharing"",""Current Month!$A:$AP""),42,0)+vlookup(A8,importrange(""https://docs.google.com/spreadsheets/d/1arpJoJSlKHkJ-Zn4sJxqp3okt8tUTI"&amp;"YCnkob2xnYiCU/edit?usp=sharing"",""Jan 2026!$A:$AP""),42,0)+vlookup(A8,importrange(""https://docs.google.com/spreadsheets/d/1arpJoJSlKHkJ-Zn4sJxqp3okt8tUTIYCnkob2xnYiCU/edit?usp=sharing"",""Feb 2026!$A:$AP""),42,0)+vlookup(A8,importrange(""https://docs.go"&amp;"ogle.com/spreadsheets/d/1arpJoJSlKHkJ-Zn4sJxqp3okt8tUTIYCnkob2xnYiCU/edit?usp=sharing"",""Mar 2026!$A:$AP""),42,0)+vlookup(A8,importrange(""https://docs.google.com/spreadsheets/d/1arpJoJSlKHkJ-Zn4sJxqp3okt8tUTIYCnkob2xnYiCU/edit?usp=sharing"",""Apr 2026!$"&amp;"A:$AP""),42,0)"),2.0)</f>
        <v>2</v>
      </c>
    </row>
    <row r="9">
      <c r="A9" s="12" t="s">
        <v>18</v>
      </c>
      <c r="B9" s="9">
        <f>IFERROR(__xludf.DUMMYFUNCTION("vlookup(A9,importrange(""https://docs.google.com/spreadsheets/d/1arpJoJSlKHkJ-Zn4sJxqp3okt8tUTIYCnkob2xnYiCU/edit?usp=sharing"",""Jan 2026!$A:$AH""),34,0)+vlookup(A9,importrange(""https://docs.google.com/spreadsheets/d/1arpJoJSlKHkJ-Zn4sJxqp3okt8tUTIYCnko"&amp;"b2xnYiCU/edit?usp=sharing"",""Feb 2026!$A:$AH""),34,0)+vlookup(A9,importrange(""https://docs.google.com/spreadsheets/d/1arpJoJSlKHkJ-Zn4sJxqp3okt8tUTIYCnkob2xnYiCU/edit?usp=sharing"",""Mar 2026!$A:$AH""),34,0)+vlookup(A9,importrange(""https://docs.google."&amp;"com/spreadsheets/d/1arpJoJSlKHkJ-Zn4sJxqp3okt8tUTIYCnkob2xnYiCU/edit?usp=sharing"",""Apr 2026!$A:$AH""),34,0)+vlookup(A9,importrange(""https://docs.google.com/spreadsheets/d/1arpJoJSlKHkJ-Zn4sJxqp3okt8tUTIYCnkob2xnYiCU/edit?usp=sharing"",""May 2026!$A:$AH"&amp;"""),34,0)+vlookup(A9,importrange(""https://docs.google.com/spreadsheets/d/1arpJoJSlKHkJ-Zn4sJxqp3okt8tUTIYCnkob2xnYiCU/edit?usp=sharing"",""June 2026!$A:$AH""),34,0)+vlookup(A9,importrange(""https://docs.google.com/spreadsheets/d/1arpJoJSlKHkJ-Zn4sJxqp3ok"&amp;"t8tUTIYCnkob2xnYiCU/edit?usp=sharing"",""Current Month!$A:$AH""),34,0)"),13.0)</f>
        <v>13</v>
      </c>
      <c r="C9" s="9">
        <f>IFERROR(__xludf.DUMMYFUNCTION("vlookup(A9,importrange(""https://docs.google.com/spreadsheets/d/1arpJoJSlKHkJ-Zn4sJxqp3okt8tUTIYCnkob2xnYiCU/edit?usp=sharing"",""Jan 2026!$A:$AI""),35,0)+vlookup(A9,importrange(""https://docs.google.com/spreadsheets/d/1arpJoJSlKHkJ-Zn4sJxqp3okt8tUTIYCnko"&amp;"b2xnYiCU/edit?usp=sharing"",""Feb 2026!$A:$AI""),35,0)+vlookup(A9,importrange(""https://docs.google.com/spreadsheets/d/1arpJoJSlKHkJ-Zn4sJxqp3okt8tUTIYCnkob2xnYiCU/edit?usp=sharing"",""Mar 2026!$A:$AI""),35,0)+vlookup(A9,importrange(""https://docs.google."&amp;"com/spreadsheets/d/1arpJoJSlKHkJ-Zn4sJxqp3okt8tUTIYCnkob2xnYiCU/edit?usp=sharing"",""Apr 2026!$A:$AI""),35,0)+vlookup(A9,importrange(""https://docs.google.com/spreadsheets/d/1arpJoJSlKHkJ-Zn4sJxqp3okt8tUTIYCnkob2xnYiCU/edit?usp=sharing"",""May 2026!$A:$AI"&amp;"""),35,0)+vlookup(A9,importrange(""https://docs.google.com/spreadsheets/d/1arpJoJSlKHkJ-Zn4sJxqp3okt8tUTIYCnkob2xnYiCU/edit?usp=sharing"",""June 2026!$A:$AI""),35,0)+vlookup(A9,importrange(""https://docs.google.com/spreadsheets/d/1arpJoJSlKHkJ-Zn4sJxqp3ok"&amp;"t8tUTIYCnkob2xnYiCU/edit?usp=sharing"",""Current Month!$A:$AI""),35,0)"),4.0)</f>
        <v>4</v>
      </c>
      <c r="D9" s="9">
        <f>IFERROR(__xludf.DUMMYFUNCTION("vlookup(A9,importrange(""https://docs.google.com/spreadsheets/d/1arpJoJSlKHkJ-Zn4sJxqp3okt8tUTIYCnkob2xnYiCU/edit?usp=sharing"",""Jan 2026!$A:$AJ""),36,0)+vlookup(A9,importrange(""https://docs.google.com/spreadsheets/d/1arpJoJSlKHkJ-Zn4sJxqp3okt8tUTIYCnko"&amp;"b2xnYiCU/edit?usp=sharing"",""Feb 2026!$A:$AJ""),36,0)+vlookup(A9,importrange(""https://docs.google.com/spreadsheets/d/1arpJoJSlKHkJ-Zn4sJxqp3okt8tUTIYCnkob2xnYiCU/edit?usp=sharing"",""Mar 2026!$A:$AJ""),36,0)+vlookup(A9,importrange(""https://docs.google."&amp;"com/spreadsheets/d/1arpJoJSlKHkJ-Zn4sJxqp3okt8tUTIYCnkob2xnYiCU/edit?usp=sharing"",""Apr 2026!$A:$AJ""),36,0)+vlookup(A9,importrange(""https://docs.google.com/spreadsheets/d/1arpJoJSlKHkJ-Zn4sJxqp3okt8tUTIYCnkob2xnYiCU/edit?usp=sharing"",""May 2026!$A:$AJ"&amp;"""),36,0)+vlookup(A9,importrange(""https://docs.google.com/spreadsheets/d/1arpJoJSlKHkJ-Zn4sJxqp3okt8tUTIYCnkob2xnYiCU/edit?usp=sharing"",""June 2026!$A:$AJ""),36,0)+vlookup(A9,importrange(""https://docs.google.com/spreadsheets/d/1arpJoJSlKHkJ-Zn4sJxqp3ok"&amp;"t8tUTIYCnkob2xnYiCU/edit?usp=sharing"",""Current Month!$A:$AJ""),36,0)"),0.0)</f>
        <v>0</v>
      </c>
      <c r="E9" s="9">
        <f>IFERROR(__xludf.DUMMYFUNCTION("vlookup(A9,importrange(""https://docs.google.com/spreadsheets/d/1arpJoJSlKHkJ-Zn4sJxqp3okt8tUTIYCnkob2xnYiCU/edit?usp=sharing"",""Jan 2026!$A:$AK""),37,0)+vlookup(A9,importrange(""https://docs.google.com/spreadsheets/d/1arpJoJSlKHkJ-Zn4sJxqp3okt8tUTIYCnko"&amp;"b2xnYiCU/edit?usp=sharing"",""Feb 2026!$A:$AK""),37,0)+vlookup(A9,importrange(""https://docs.google.com/spreadsheets/d/1arpJoJSlKHkJ-Zn4sJxqp3okt8tUTIYCnkob2xnYiCU/edit?usp=sharing"",""Mar 2026!$A:$AK""),37,0)+vlookup(A9,importrange(""https://docs.google."&amp;"com/spreadsheets/d/1arpJoJSlKHkJ-Zn4sJxqp3okt8tUTIYCnkob2xnYiCU/edit?usp=sharing"",""Apr 2026!$A:$AK""),37,0)+vlookup(A9,importrange(""https://docs.google.com/spreadsheets/d/1arpJoJSlKHkJ-Zn4sJxqp3okt8tUTIYCnkob2xnYiCU/edit?usp=sharing"",""May 2026!$A:$AK"&amp;"""),37,0)+vlookup(A9,importrange(""https://docs.google.com/spreadsheets/d/1arpJoJSlKHkJ-Zn4sJxqp3okt8tUTIYCnkob2xnYiCU/edit?usp=sharing"",""June 2026!$A:$AK""),37,0)+vlookup(A9,importrange(""https://docs.google.com/spreadsheets/d/1arpJoJSlKHkJ-Zn4sJxqp3ok"&amp;"t8tUTIYCnkob2xnYiCU/edit?usp=sharing"",""Current Month!$A:$AK""),37,0)"),0.0)</f>
        <v>0</v>
      </c>
      <c r="F9" s="9">
        <f t="shared" si="1"/>
        <v>2</v>
      </c>
      <c r="G9" s="9">
        <f>IFERROR(__xludf.DUMMYFUNCTION("vlookup(A9,importrange(""https://docs.google.com/spreadsheets/d/1arpJoJSlKHkJ-Zn4sJxqp3okt8tUTIYCnkob2xnYiCU/edit?usp=sharing"",""Jan 2026!$A:$AN""),40,0)+vlookup(A9,importrange(""https://docs.google.com/spreadsheets/d/1arpJoJSlKHkJ-Zn4sJxqp3okt8tUTIYCnko"&amp;"b2xnYiCU/edit?usp=sharing"",""Feb 2026!$A:$AN""),40,0)+vlookup(A9,importrange(""https://docs.google.com/spreadsheets/d/1arpJoJSlKHkJ-Zn4sJxqp3okt8tUTIYCnkob2xnYiCU/edit?usp=sharing"",""Mar 2026!$A:$AN""),40,0)+vlookup(A9,importrange(""https://docs.google."&amp;"com/spreadsheets/d/1arpJoJSlKHkJ-Zn4sJxqp3okt8tUTIYCnkob2xnYiCU/edit?usp=sharing"",""Apr 2026!$A:$AN""),40,0)+vlookup(A9,importrange(""https://docs.google.com/spreadsheets/d/1arpJoJSlKHkJ-Zn4sJxqp3okt8tUTIYCnkob2xnYiCU/edit?usp=sharing"",""May 2026!$A:$AN"&amp;"""),40,0)+vlookup(A9,importrange(""https://docs.google.com/spreadsheets/d/1arpJoJSlKHkJ-Zn4sJxqp3okt8tUTIYCnkob2xnYiCU/edit?usp=sharing"",""June 2026!$A:$AN""),40,0)+vlookup(A9,importrange(""https://docs.google.com/spreadsheets/d/1arpJoJSlKHkJ-Zn4sJxqp3ok"&amp;"t8tUTIYCnkob2xnYiCU/edit?usp=sharing"",""Current Month!$A:$AN""),40,0)"),2.0)</f>
        <v>2</v>
      </c>
      <c r="H9" s="9">
        <v>12.0</v>
      </c>
      <c r="I9" s="10">
        <f t="shared" si="2"/>
        <v>4</v>
      </c>
      <c r="J9" s="9">
        <f>IFERROR(__xludf.DUMMYFUNCTION("vlookup(A9,importrange(""https://docs.google.com/spreadsheets/d/1arpJoJSlKHkJ-Zn4sJxqp3okt8tUTIYCnkob2xnYiCU/edit?usp=sharing"",""Jan 2026!$A:$AP""),41,0)+vlookup(A9,importrange(""https://docs.google.com/spreadsheets/d/1arpJoJSlKHkJ-Zn4sJxqp3okt8tUTIYCnko"&amp;"b2xnYiCU/edit?usp=sharing"",""Feb 2026!$A:$AP""),41,0)+vlookup(A9,importrange(""https://docs.google.com/spreadsheets/d/1arpJoJSlKHkJ-Zn4sJxqp3okt8tUTIYCnkob2xnYiCU/edit?usp=sharing"",""Mar 2026!$A:$AP""),41,0)+vlookup(A9,importrange(""https://docs.google."&amp;"com/spreadsheets/d/1arpJoJSlKHkJ-Zn4sJxqp3okt8tUTIYCnkob2xnYiCU/edit?usp=sharing"",""Current Month!$A:$AP""),41,0)"),18.0)</f>
        <v>18</v>
      </c>
      <c r="K9" s="11">
        <f>IFERROR(__xludf.DUMMYFUNCTION("J9/((vlookup(A9,importrange(""https://docs.google.com/spreadsheets/d/1arpJoJSlKHkJ-Zn4sJxqp3okt8tUTIYCnkob2xnYiCU/edit?usp=sharing"",""Jan 2026!$A:$AG""),33,0))+(vlookup(A9,importrange(""https://docs.google.com/spreadsheets/d/1arpJoJSlKHkJ-Zn4sJxqp3okt8tU"&amp;"TIYCnkob2xnYiCU/edit?usp=sharing"",""Feb 2026!$A:$AG""),33,0))+(vlookup(A9,importrange(""https://docs.google.com/spreadsheets/d/1arpJoJSlKHkJ-Zn4sJxqp3okt8tUTIYCnkob2xnYiCU/edit?usp=sharing"",""Mar 2026!$A:$AG""),33,0))+(vlookup(A9,importrange(""https://d"&amp;"ocs.google.com/spreadsheets/d/1arpJoJSlKHkJ-Zn4sJxqp3okt8tUTIYCnkob2xnYiCU/edit?usp=sharing"",""Apr 2026!$A:$AG""),33,0))+(vlookup(A9,importrange(""https://docs.google.com/spreadsheets/d/1arpJoJSlKHkJ-Zn4sJxqp3okt8tUTIYCnkob2xnYiCU/edit?usp=sharing"",""Cu"&amp;"rrent Month!$A:$AG""),33,0)))"),0.21686746987951808)</f>
        <v>0.2168674699</v>
      </c>
      <c r="L9" s="9">
        <f>IFERROR(__xludf.DUMMYFUNCTION("vlookup(A9,importrange(""https://docs.google.com/spreadsheets/d/1arpJoJSlKHkJ-Zn4sJxqp3okt8tUTIYCnkob2xnYiCU/edit?usp=sharing"",""Current Month!$A:$AP""),42,0)+vlookup(A9,importrange(""https://docs.google.com/spreadsheets/d/1arpJoJSlKHkJ-Zn4sJxqp3okt8tUTI"&amp;"YCnkob2xnYiCU/edit?usp=sharing"",""Jan 2026!$A:$AP""),42,0)+vlookup(A9,importrange(""https://docs.google.com/spreadsheets/d/1arpJoJSlKHkJ-Zn4sJxqp3okt8tUTIYCnkob2xnYiCU/edit?usp=sharing"",""Feb 2026!$A:$AP""),42,0)+vlookup(A9,importrange(""https://docs.go"&amp;"ogle.com/spreadsheets/d/1arpJoJSlKHkJ-Zn4sJxqp3okt8tUTIYCnkob2xnYiCU/edit?usp=sharing"",""Mar 2026!$A:$AP""),42,0)+vlookup(A9,importrange(""https://docs.google.com/spreadsheets/d/1arpJoJSlKHkJ-Zn4sJxqp3okt8tUTIYCnkob2xnYiCU/edit?usp=sharing"",""Apr 2026!$"&amp;"A:$AP""),42,0)"),3.0)</f>
        <v>3</v>
      </c>
    </row>
    <row r="10">
      <c r="A10" s="8" t="s">
        <v>19</v>
      </c>
      <c r="B10" s="9">
        <f>IFERROR(__xludf.DUMMYFUNCTION("vlookup(A10,importrange(""https://docs.google.com/spreadsheets/d/1arpJoJSlKHkJ-Zn4sJxqp3okt8tUTIYCnkob2xnYiCU/edit?usp=sharing"",""Jan 2026!$A:$AH""),34,0)+vlookup(A10,importrange(""https://docs.google.com/spreadsheets/d/1arpJoJSlKHkJ-Zn4sJxqp3okt8tUTIYCn"&amp;"kob2xnYiCU/edit?usp=sharing"",""Feb 2026!$A:$AH""),34,0)+vlookup(A10,importrange(""https://docs.google.com/spreadsheets/d/1arpJoJSlKHkJ-Zn4sJxqp3okt8tUTIYCnkob2xnYiCU/edit?usp=sharing"",""Mar 2026!$A:$AH""),34,0)+vlookup(A10,importrange(""https://docs.goo"&amp;"gle.com/spreadsheets/d/1arpJoJSlKHkJ-Zn4sJxqp3okt8tUTIYCnkob2xnYiCU/edit?usp=sharing"",""Apr 2026!$A:$AH""),34,0)+vlookup(A10,importrange(""https://docs.google.com/spreadsheets/d/1arpJoJSlKHkJ-Zn4sJxqp3okt8tUTIYCnkob2xnYiCU/edit?usp=sharing"",""May 2026!$"&amp;"A:$AH""),34,0)+vlookup(A10,importrange(""https://docs.google.com/spreadsheets/d/1arpJoJSlKHkJ-Zn4sJxqp3okt8tUTIYCnkob2xnYiCU/edit?usp=sharing"",""June 2026!$A:$AH""),34,0)+vlookup(A10,importrange(""https://docs.google.com/spreadsheets/d/1arpJoJSlKHkJ-Zn4s"&amp;"Jxqp3okt8tUTIYCnkob2xnYiCU/edit?usp=sharing"",""Current Month!$A:$AH""),34,0)"),10.0)</f>
        <v>10</v>
      </c>
      <c r="C10" s="9">
        <f>IFERROR(__xludf.DUMMYFUNCTION("vlookup(A10,importrange(""https://docs.google.com/spreadsheets/d/1arpJoJSlKHkJ-Zn4sJxqp3okt8tUTIYCnkob2xnYiCU/edit?usp=sharing"",""Jan 2026!$A:$AI""),35,0)+vlookup(A10,importrange(""https://docs.google.com/spreadsheets/d/1arpJoJSlKHkJ-Zn4sJxqp3okt8tUTIYCn"&amp;"kob2xnYiCU/edit?usp=sharing"",""Feb 2026!$A:$AI""),35,0)+vlookup(A10,importrange(""https://docs.google.com/spreadsheets/d/1arpJoJSlKHkJ-Zn4sJxqp3okt8tUTIYCnkob2xnYiCU/edit?usp=sharing"",""Mar 2026!$A:$AI""),35,0)+vlookup(A10,importrange(""https://docs.goo"&amp;"gle.com/spreadsheets/d/1arpJoJSlKHkJ-Zn4sJxqp3okt8tUTIYCnkob2xnYiCU/edit?usp=sharing"",""Apr 2026!$A:$AI""),35,0)+vlookup(A10,importrange(""https://docs.google.com/spreadsheets/d/1arpJoJSlKHkJ-Zn4sJxqp3okt8tUTIYCnkob2xnYiCU/edit?usp=sharing"",""May 2026!$"&amp;"A:$AI""),35,0)+vlookup(A10,importrange(""https://docs.google.com/spreadsheets/d/1arpJoJSlKHkJ-Zn4sJxqp3okt8tUTIYCnkob2xnYiCU/edit?usp=sharing"",""June 2026!$A:$AI""),35,0)+vlookup(A10,importrange(""https://docs.google.com/spreadsheets/d/1arpJoJSlKHkJ-Zn4s"&amp;"Jxqp3okt8tUTIYCnkob2xnYiCU/edit?usp=sharing"",""Current Month!$A:$AI""),35,0)"),4.0)</f>
        <v>4</v>
      </c>
      <c r="D10" s="9">
        <f>IFERROR(__xludf.DUMMYFUNCTION("vlookup(A10,importrange(""https://docs.google.com/spreadsheets/d/1arpJoJSlKHkJ-Zn4sJxqp3okt8tUTIYCnkob2xnYiCU/edit?usp=sharing"",""Jan 2026!$A:$AJ""),36,0)+vlookup(A10,importrange(""https://docs.google.com/spreadsheets/d/1arpJoJSlKHkJ-Zn4sJxqp3okt8tUTIYCn"&amp;"kob2xnYiCU/edit?usp=sharing"",""Feb 2026!$A:$AJ""),36,0)+vlookup(A10,importrange(""https://docs.google.com/spreadsheets/d/1arpJoJSlKHkJ-Zn4sJxqp3okt8tUTIYCnkob2xnYiCU/edit?usp=sharing"",""Mar 2026!$A:$AJ""),36,0)+vlookup(A10,importrange(""https://docs.goo"&amp;"gle.com/spreadsheets/d/1arpJoJSlKHkJ-Zn4sJxqp3okt8tUTIYCnkob2xnYiCU/edit?usp=sharing"",""Apr 2026!$A:$AJ""),36,0)+vlookup(A10,importrange(""https://docs.google.com/spreadsheets/d/1arpJoJSlKHkJ-Zn4sJxqp3okt8tUTIYCnkob2xnYiCU/edit?usp=sharing"",""May 2026!$"&amp;"A:$AJ""),36,0)+vlookup(A10,importrange(""https://docs.google.com/spreadsheets/d/1arpJoJSlKHkJ-Zn4sJxqp3okt8tUTIYCnkob2xnYiCU/edit?usp=sharing"",""June 2026!$A:$AJ""),36,0)+vlookup(A10,importrange(""https://docs.google.com/spreadsheets/d/1arpJoJSlKHkJ-Zn4s"&amp;"Jxqp3okt8tUTIYCnkob2xnYiCU/edit?usp=sharing"",""Current Month!$A:$AJ""),36,0)"),1.0)</f>
        <v>1</v>
      </c>
      <c r="E10" s="9">
        <f>IFERROR(__xludf.DUMMYFUNCTION("vlookup(A10,importrange(""https://docs.google.com/spreadsheets/d/1arpJoJSlKHkJ-Zn4sJxqp3okt8tUTIYCnkob2xnYiCU/edit?usp=sharing"",""Jan 2026!$A:$AK""),37,0)+vlookup(A10,importrange(""https://docs.google.com/spreadsheets/d/1arpJoJSlKHkJ-Zn4sJxqp3okt8tUTIYCn"&amp;"kob2xnYiCU/edit?usp=sharing"",""Feb 2026!$A:$AK""),37,0)+vlookup(A10,importrange(""https://docs.google.com/spreadsheets/d/1arpJoJSlKHkJ-Zn4sJxqp3okt8tUTIYCnkob2xnYiCU/edit?usp=sharing"",""Mar 2026!$A:$AK""),37,0)+vlookup(A10,importrange(""https://docs.goo"&amp;"gle.com/spreadsheets/d/1arpJoJSlKHkJ-Zn4sJxqp3okt8tUTIYCnkob2xnYiCU/edit?usp=sharing"",""Apr 2026!$A:$AK""),37,0)+vlookup(A10,importrange(""https://docs.google.com/spreadsheets/d/1arpJoJSlKHkJ-Zn4sJxqp3okt8tUTIYCnkob2xnYiCU/edit?usp=sharing"",""May 2026!$"&amp;"A:$AK""),37,0)+vlookup(A10,importrange(""https://docs.google.com/spreadsheets/d/1arpJoJSlKHkJ-Zn4sJxqp3okt8tUTIYCnkob2xnYiCU/edit?usp=sharing"",""June 2026!$A:$AK""),37,0)+vlookup(A10,importrange(""https://docs.google.com/spreadsheets/d/1arpJoJSlKHkJ-Zn4s"&amp;"Jxqp3okt8tUTIYCnkob2xnYiCU/edit?usp=sharing"",""Current Month!$A:$AK""),37,0)"),0.0)</f>
        <v>0</v>
      </c>
      <c r="F10" s="9">
        <f t="shared" si="1"/>
        <v>4</v>
      </c>
      <c r="G10" s="9">
        <f>IFERROR(__xludf.DUMMYFUNCTION("vlookup(A10,importrange(""https://docs.google.com/spreadsheets/d/1arpJoJSlKHkJ-Zn4sJxqp3okt8tUTIYCnkob2xnYiCU/edit?usp=sharing"",""Jan 2026!$A:$AN""),40,0)+vlookup(A10,importrange(""https://docs.google.com/spreadsheets/d/1arpJoJSlKHkJ-Zn4sJxqp3okt8tUTIYCn"&amp;"kob2xnYiCU/edit?usp=sharing"",""Feb 2026!$A:$AN""),40,0)+vlookup(A10,importrange(""https://docs.google.com/spreadsheets/d/1arpJoJSlKHkJ-Zn4sJxqp3okt8tUTIYCnkob2xnYiCU/edit?usp=sharing"",""Mar 2026!$A:$AN""),40,0)+vlookup(A10,importrange(""https://docs.goo"&amp;"gle.com/spreadsheets/d/1arpJoJSlKHkJ-Zn4sJxqp3okt8tUTIYCnkob2xnYiCU/edit?usp=sharing"",""Apr 2026!$A:$AN""),40,0)+vlookup(A10,importrange(""https://docs.google.com/spreadsheets/d/1arpJoJSlKHkJ-Zn4sJxqp3okt8tUTIYCnkob2xnYiCU/edit?usp=sharing"",""May 2026!$"&amp;"A:$AN""),40,0)+vlookup(A10,importrange(""https://docs.google.com/spreadsheets/d/1arpJoJSlKHkJ-Zn4sJxqp3okt8tUTIYCnkob2xnYiCU/edit?usp=sharing"",""June 2026!$A:$AN""),40,0)+vlookup(A10,importrange(""https://docs.google.com/spreadsheets/d/1arpJoJSlKHkJ-Zn4s"&amp;"Jxqp3okt8tUTIYCnkob2xnYiCU/edit?usp=sharing"",""Current Month!$A:$AN""),40,0)"),0.0)</f>
        <v>0</v>
      </c>
      <c r="H10" s="9">
        <v>12.0</v>
      </c>
      <c r="I10" s="10">
        <f t="shared" si="2"/>
        <v>7</v>
      </c>
      <c r="J10" s="9">
        <f>IFERROR(__xludf.DUMMYFUNCTION("vlookup(A10,importrange(""https://docs.google.com/spreadsheets/d/1arpJoJSlKHkJ-Zn4sJxqp3okt8tUTIYCnkob2xnYiCU/edit?usp=sharing"",""Jan 2026!$A:$AP""),41,0)+vlookup(A10,importrange(""https://docs.google.com/spreadsheets/d/1arpJoJSlKHkJ-Zn4sJxqp3okt8tUTIYCn"&amp;"kob2xnYiCU/edit?usp=sharing"",""Feb 2026!$A:$AP""),41,0)+vlookup(A10,importrange(""https://docs.google.com/spreadsheets/d/1arpJoJSlKHkJ-Zn4sJxqp3okt8tUTIYCnkob2xnYiCU/edit?usp=sharing"",""Mar 2026!$A:$AP""),41,0)+vlookup(A10,importrange(""https://docs.goo"&amp;"gle.com/spreadsheets/d/1arpJoJSlKHkJ-Zn4sJxqp3okt8tUTIYCnkob2xnYiCU/edit?usp=sharing"",""Current Month!$A:$AP""),41,0)"),3.0)</f>
        <v>3</v>
      </c>
      <c r="K10" s="11">
        <f>IFERROR(__xludf.DUMMYFUNCTION("J10/((vlookup(A10,importrange(""https://docs.google.com/spreadsheets/d/1arpJoJSlKHkJ-Zn4sJxqp3okt8tUTIYCnkob2xnYiCU/edit?usp=sharing"",""Jan 2026!$A:$AG""),33,0))+(vlookup(A10,importrange(""https://docs.google.com/spreadsheets/d/1arpJoJSlKHkJ-Zn4sJxqp3okt"&amp;"8tUTIYCnkob2xnYiCU/edit?usp=sharing"",""Feb 2026!$A:$AG""),33,0))+(vlookup(A10,importrange(""https://docs.google.com/spreadsheets/d/1arpJoJSlKHkJ-Zn4sJxqp3okt8tUTIYCnkob2xnYiCU/edit?usp=sharing"",""Mar 2026!$A:$AG""),33,0))+(vlookup(A10,importrange(""http"&amp;"s://docs.google.com/spreadsheets/d/1arpJoJSlKHkJ-Zn4sJxqp3okt8tUTIYCnkob2xnYiCU/edit?usp=sharing"",""Apr 2026!$A:$AG""),33,0))+(vlookup(A10,importrange(""https://docs.google.com/spreadsheets/d/1arpJoJSlKHkJ-Zn4sJxqp3okt8tUTIYCnkob2xnYiCU/edit?usp=sharing"&amp;""",""Current Month!$A:$AG""),33,0)))"),0.08108108108108109)</f>
        <v>0.08108108108</v>
      </c>
      <c r="L10" s="9">
        <f>IFERROR(__xludf.DUMMYFUNCTION("vlookup(A10,importrange(""https://docs.google.com/spreadsheets/d/1arpJoJSlKHkJ-Zn4sJxqp3okt8tUTIYCnkob2xnYiCU/edit?usp=sharing"",""Current Month!$A:$AP""),42,0)+vlookup(A10,importrange(""https://docs.google.com/spreadsheets/d/1arpJoJSlKHkJ-Zn4sJxqp3okt8tU"&amp;"TIYCnkob2xnYiCU/edit?usp=sharing"",""Jan 2026!$A:$AP""),42,0)+vlookup(A10,importrange(""https://docs.google.com/spreadsheets/d/1arpJoJSlKHkJ-Zn4sJxqp3okt8tUTIYCnkob2xnYiCU/edit?usp=sharing"",""Feb 2026!$A:$AP""),42,0)+vlookup(A10,importrange(""https://doc"&amp;"s.google.com/spreadsheets/d/1arpJoJSlKHkJ-Zn4sJxqp3okt8tUTIYCnkob2xnYiCU/edit?usp=sharing"",""Mar 2026!$A:$AP""),42,0)+vlookup(A10,importrange(""https://docs.google.com/spreadsheets/d/1arpJoJSlKHkJ-Zn4sJxqp3okt8tUTIYCnkob2xnYiCU/edit?usp=sharing"",""Apr 2"&amp;"026!$A:$AP""),42,0)"),0.0)</f>
        <v>0</v>
      </c>
    </row>
    <row r="11">
      <c r="A11" s="8" t="s">
        <v>20</v>
      </c>
      <c r="B11" s="9">
        <f>IFERROR(__xludf.DUMMYFUNCTION("vlookup(A11,importrange(""https://docs.google.com/spreadsheets/d/1arpJoJSlKHkJ-Zn4sJxqp3okt8tUTIYCnkob2xnYiCU/edit?usp=sharing"",""Jan 2026!$A:$AH""),34,0)+vlookup(A11,importrange(""https://docs.google.com/spreadsheets/d/1arpJoJSlKHkJ-Zn4sJxqp3okt8tUTIYCn"&amp;"kob2xnYiCU/edit?usp=sharing"",""Feb 2026!$A:$AH""),34,0)+vlookup(A11,importrange(""https://docs.google.com/spreadsheets/d/1arpJoJSlKHkJ-Zn4sJxqp3okt8tUTIYCnkob2xnYiCU/edit?usp=sharing"",""Mar 2026!$A:$AH""),34,0)+vlookup(A11,importrange(""https://docs.goo"&amp;"gle.com/spreadsheets/d/1arpJoJSlKHkJ-Zn4sJxqp3okt8tUTIYCnkob2xnYiCU/edit?usp=sharing"",""Apr 2026!$A:$AH""),34,0)+vlookup(A11,importrange(""https://docs.google.com/spreadsheets/d/1arpJoJSlKHkJ-Zn4sJxqp3okt8tUTIYCnkob2xnYiCU/edit?usp=sharing"",""May 2026!$"&amp;"A:$AH""),34,0)+vlookup(A11,importrange(""https://docs.google.com/spreadsheets/d/1arpJoJSlKHkJ-Zn4sJxqp3okt8tUTIYCnkob2xnYiCU/edit?usp=sharing"",""June 2026!$A:$AH""),34,0)+vlookup(A11,importrange(""https://docs.google.com/spreadsheets/d/1arpJoJSlKHkJ-Zn4s"&amp;"Jxqp3okt8tUTIYCnkob2xnYiCU/edit?usp=sharing"",""Current Month!$A:$AH""),34,0)"),5.0)</f>
        <v>5</v>
      </c>
      <c r="C11" s="9">
        <f>IFERROR(__xludf.DUMMYFUNCTION("vlookup(A11,importrange(""https://docs.google.com/spreadsheets/d/1arpJoJSlKHkJ-Zn4sJxqp3okt8tUTIYCnkob2xnYiCU/edit?usp=sharing"",""Jan 2026!$A:$AI""),35,0)+vlookup(A11,importrange(""https://docs.google.com/spreadsheets/d/1arpJoJSlKHkJ-Zn4sJxqp3okt8tUTIYCn"&amp;"kob2xnYiCU/edit?usp=sharing"",""Feb 2026!$A:$AI""),35,0)+vlookup(A11,importrange(""https://docs.google.com/spreadsheets/d/1arpJoJSlKHkJ-Zn4sJxqp3okt8tUTIYCnkob2xnYiCU/edit?usp=sharing"",""Mar 2026!$A:$AI""),35,0)+vlookup(A11,importrange(""https://docs.goo"&amp;"gle.com/spreadsheets/d/1arpJoJSlKHkJ-Zn4sJxqp3okt8tUTIYCnkob2xnYiCU/edit?usp=sharing"",""Apr 2026!$A:$AI""),35,0)+vlookup(A11,importrange(""https://docs.google.com/spreadsheets/d/1arpJoJSlKHkJ-Zn4sJxqp3okt8tUTIYCnkob2xnYiCU/edit?usp=sharing"",""May 2026!$"&amp;"A:$AI""),35,0)+vlookup(A11,importrange(""https://docs.google.com/spreadsheets/d/1arpJoJSlKHkJ-Zn4sJxqp3okt8tUTIYCnkob2xnYiCU/edit?usp=sharing"",""June 2026!$A:$AI""),35,0)+vlookup(A11,importrange(""https://docs.google.com/spreadsheets/d/1arpJoJSlKHkJ-Zn4s"&amp;"Jxqp3okt8tUTIYCnkob2xnYiCU/edit?usp=sharing"",""Current Month!$A:$AI""),35,0)"),7.5)</f>
        <v>7.5</v>
      </c>
      <c r="D11" s="9">
        <f>IFERROR(__xludf.DUMMYFUNCTION("vlookup(A11,importrange(""https://docs.google.com/spreadsheets/d/1arpJoJSlKHkJ-Zn4sJxqp3okt8tUTIYCnkob2xnYiCU/edit?usp=sharing"",""Jan 2026!$A:$AJ""),36,0)+vlookup(A11,importrange(""https://docs.google.com/spreadsheets/d/1arpJoJSlKHkJ-Zn4sJxqp3okt8tUTIYCn"&amp;"kob2xnYiCU/edit?usp=sharing"",""Feb 2026!$A:$AJ""),36,0)+vlookup(A11,importrange(""https://docs.google.com/spreadsheets/d/1arpJoJSlKHkJ-Zn4sJxqp3okt8tUTIYCnkob2xnYiCU/edit?usp=sharing"",""Mar 2026!$A:$AJ""),36,0)+vlookup(A11,importrange(""https://docs.goo"&amp;"gle.com/spreadsheets/d/1arpJoJSlKHkJ-Zn4sJxqp3okt8tUTIYCnkob2xnYiCU/edit?usp=sharing"",""Apr 2026!$A:$AJ""),36,0)+vlookup(A11,importrange(""https://docs.google.com/spreadsheets/d/1arpJoJSlKHkJ-Zn4sJxqp3okt8tUTIYCnkob2xnYiCU/edit?usp=sharing"",""May 2026!$"&amp;"A:$AJ""),36,0)+vlookup(A11,importrange(""https://docs.google.com/spreadsheets/d/1arpJoJSlKHkJ-Zn4sJxqp3okt8tUTIYCnkob2xnYiCU/edit?usp=sharing"",""June 2026!$A:$AJ""),36,0)+vlookup(A11,importrange(""https://docs.google.com/spreadsheets/d/1arpJoJSlKHkJ-Zn4s"&amp;"Jxqp3okt8tUTIYCnkob2xnYiCU/edit?usp=sharing"",""Current Month!$A:$AJ""),36,0)"),0.0)</f>
        <v>0</v>
      </c>
      <c r="E11" s="9">
        <f>IFERROR(__xludf.DUMMYFUNCTION("vlookup(A11,importrange(""https://docs.google.com/spreadsheets/d/1arpJoJSlKHkJ-Zn4sJxqp3okt8tUTIYCnkob2xnYiCU/edit?usp=sharing"",""Jan 2026!$A:$AK""),37,0)+vlookup(A11,importrange(""https://docs.google.com/spreadsheets/d/1arpJoJSlKHkJ-Zn4sJxqp3okt8tUTIYCn"&amp;"kob2xnYiCU/edit?usp=sharing"",""Feb 2026!$A:$AK""),37,0)+vlookup(A11,importrange(""https://docs.google.com/spreadsheets/d/1arpJoJSlKHkJ-Zn4sJxqp3okt8tUTIYCnkob2xnYiCU/edit?usp=sharing"",""Mar 2026!$A:$AK""),37,0)+vlookup(A11,importrange(""https://docs.goo"&amp;"gle.com/spreadsheets/d/1arpJoJSlKHkJ-Zn4sJxqp3okt8tUTIYCnkob2xnYiCU/edit?usp=sharing"",""Apr 2026!$A:$AK""),37,0)+vlookup(A11,importrange(""https://docs.google.com/spreadsheets/d/1arpJoJSlKHkJ-Zn4sJxqp3okt8tUTIYCnkob2xnYiCU/edit?usp=sharing"",""May 2026!$"&amp;"A:$AK""),37,0)+vlookup(A11,importrange(""https://docs.google.com/spreadsheets/d/1arpJoJSlKHkJ-Zn4sJxqp3okt8tUTIYCnkob2xnYiCU/edit?usp=sharing"",""June 2026!$A:$AK""),37,0)+vlookup(A11,importrange(""https://docs.google.com/spreadsheets/d/1arpJoJSlKHkJ-Zn4s"&amp;"Jxqp3okt8tUTIYCnkob2xnYiCU/edit?usp=sharing"",""Current Month!$A:$AK""),37,0)"),0.0)</f>
        <v>0</v>
      </c>
      <c r="F11" s="9">
        <f t="shared" si="1"/>
        <v>4</v>
      </c>
      <c r="G11" s="9">
        <f>IFERROR(__xludf.DUMMYFUNCTION("vlookup(A11,importrange(""https://docs.google.com/spreadsheets/d/1arpJoJSlKHkJ-Zn4sJxqp3okt8tUTIYCnkob2xnYiCU/edit?usp=sharing"",""Jan 2026!$A:$AN""),40,0)+vlookup(A11,importrange(""https://docs.google.com/spreadsheets/d/1arpJoJSlKHkJ-Zn4sJxqp3okt8tUTIYCn"&amp;"kob2xnYiCU/edit?usp=sharing"",""Feb 2026!$A:$AN""),40,0)+vlookup(A11,importrange(""https://docs.google.com/spreadsheets/d/1arpJoJSlKHkJ-Zn4sJxqp3okt8tUTIYCnkob2xnYiCU/edit?usp=sharing"",""Mar 2026!$A:$AN""),40,0)+vlookup(A11,importrange(""https://docs.goo"&amp;"gle.com/spreadsheets/d/1arpJoJSlKHkJ-Zn4sJxqp3okt8tUTIYCnkob2xnYiCU/edit?usp=sharing"",""Apr 2026!$A:$AN""),40,0)+vlookup(A11,importrange(""https://docs.google.com/spreadsheets/d/1arpJoJSlKHkJ-Zn4sJxqp3okt8tUTIYCnkob2xnYiCU/edit?usp=sharing"",""May 2026!$"&amp;"A:$AN""),40,0)+vlookup(A11,importrange(""https://docs.google.com/spreadsheets/d/1arpJoJSlKHkJ-Zn4sJxqp3okt8tUTIYCnkob2xnYiCU/edit?usp=sharing"",""June 2026!$A:$AN""),40,0)+vlookup(A11,importrange(""https://docs.google.com/spreadsheets/d/1arpJoJSlKHkJ-Zn4s"&amp;"Jxqp3okt8tUTIYCnkob2xnYiCU/edit?usp=sharing"",""Current Month!$A:$AN""),40,0)"),0.0)</f>
        <v>0</v>
      </c>
      <c r="H11" s="9">
        <v>12.0</v>
      </c>
      <c r="I11" s="10">
        <f t="shared" si="2"/>
        <v>8.5</v>
      </c>
      <c r="J11" s="9">
        <f>IFERROR(__xludf.DUMMYFUNCTION("vlookup(A11,importrange(""https://docs.google.com/spreadsheets/d/1arpJoJSlKHkJ-Zn4sJxqp3okt8tUTIYCnkob2xnYiCU/edit?usp=sharing"",""Jan 2026!$A:$AP""),41,0)+vlookup(A11,importrange(""https://docs.google.com/spreadsheets/d/1arpJoJSlKHkJ-Zn4sJxqp3okt8tUTIYCn"&amp;"kob2xnYiCU/edit?usp=sharing"",""Feb 2026!$A:$AP""),41,0)+vlookup(A11,importrange(""https://docs.google.com/spreadsheets/d/1arpJoJSlKHkJ-Zn4sJxqp3okt8tUTIYCnkob2xnYiCU/edit?usp=sharing"",""Mar 2026!$A:$AP""),41,0)+vlookup(A11,importrange(""https://docs.goo"&amp;"gle.com/spreadsheets/d/1arpJoJSlKHkJ-Zn4sJxqp3okt8tUTIYCnkob2xnYiCU/edit?usp=sharing"",""Current Month!$A:$AP""),41,0)"),25.0)</f>
        <v>25</v>
      </c>
      <c r="K11" s="11">
        <f>IFERROR(__xludf.DUMMYFUNCTION("J11/((vlookup(A11,importrange(""https://docs.google.com/spreadsheets/d/1arpJoJSlKHkJ-Zn4sJxqp3okt8tUTIYCnkob2xnYiCU/edit?usp=sharing"",""Jan 2026!$A:$AG""),33,0))+(vlookup(A11,importrange(""https://docs.google.com/spreadsheets/d/1arpJoJSlKHkJ-Zn4sJxqp3okt"&amp;"8tUTIYCnkob2xnYiCU/edit?usp=sharing"",""Feb 2026!$A:$AG""),33,0))+(vlookup(A11,importrange(""https://docs.google.com/spreadsheets/d/1arpJoJSlKHkJ-Zn4sJxqp3okt8tUTIYCnkob2xnYiCU/edit?usp=sharing"",""Mar 2026!$A:$AG""),33,0))+(vlookup(A11,importrange(""http"&amp;"s://docs.google.com/spreadsheets/d/1arpJoJSlKHkJ-Zn4sJxqp3okt8tUTIYCnkob2xnYiCU/edit?usp=sharing"",""Apr 2026!$A:$AG""),33,0))+(vlookup(A11,importrange(""https://docs.google.com/spreadsheets/d/1arpJoJSlKHkJ-Zn4sJxqp3okt8tUTIYCnkob2xnYiCU/edit?usp=sharing"&amp;""",""Current Month!$A:$AG""),33,0)))"),0.2808988764044944)</f>
        <v>0.2808988764</v>
      </c>
      <c r="L11" s="9">
        <f>IFERROR(__xludf.DUMMYFUNCTION("vlookup(A11,importrange(""https://docs.google.com/spreadsheets/d/1arpJoJSlKHkJ-Zn4sJxqp3okt8tUTIYCnkob2xnYiCU/edit?usp=sharing"",""Current Month!$A:$AP""),42,0)+vlookup(A11,importrange(""https://docs.google.com/spreadsheets/d/1arpJoJSlKHkJ-Zn4sJxqp3okt8tU"&amp;"TIYCnkob2xnYiCU/edit?usp=sharing"",""Jan 2026!$A:$AP""),42,0)+vlookup(A11,importrange(""https://docs.google.com/spreadsheets/d/1arpJoJSlKHkJ-Zn4sJxqp3okt8tUTIYCnkob2xnYiCU/edit?usp=sharing"",""Feb 2026!$A:$AP""),42,0)+vlookup(A11,importrange(""https://doc"&amp;"s.google.com/spreadsheets/d/1arpJoJSlKHkJ-Zn4sJxqp3okt8tUTIYCnkob2xnYiCU/edit?usp=sharing"",""Mar 2026!$A:$AP""),42,0)+vlookup(A11,importrange(""https://docs.google.com/spreadsheets/d/1arpJoJSlKHkJ-Zn4sJxqp3okt8tUTIYCnkob2xnYiCU/edit?usp=sharing"",""Apr 2"&amp;"026!$A:$AP""),42,0)"),0.0)</f>
        <v>0</v>
      </c>
    </row>
    <row r="12">
      <c r="A12" s="8" t="s">
        <v>21</v>
      </c>
      <c r="B12" s="9">
        <f>IFERROR(__xludf.DUMMYFUNCTION("vlookup(A12,importrange(""https://docs.google.com/spreadsheets/d/1arpJoJSlKHkJ-Zn4sJxqp3okt8tUTIYCnkob2xnYiCU/edit?usp=sharing"",""Jan 2026!$A:$AH""),34,0)+vlookup(A12,importrange(""https://docs.google.com/spreadsheets/d/1arpJoJSlKHkJ-Zn4sJxqp3okt8tUTIYCn"&amp;"kob2xnYiCU/edit?usp=sharing"",""Feb 2026!$A:$AH""),34,0)+vlookup(A12,importrange(""https://docs.google.com/spreadsheets/d/1arpJoJSlKHkJ-Zn4sJxqp3okt8tUTIYCnkob2xnYiCU/edit?usp=sharing"",""Mar 2026!$A:$AH""),34,0)+vlookup(A12,importrange(""https://docs.goo"&amp;"gle.com/spreadsheets/d/1arpJoJSlKHkJ-Zn4sJxqp3okt8tUTIYCnkob2xnYiCU/edit?usp=sharing"",""Apr 2026!$A:$AH""),34,0)+vlookup(A12,importrange(""https://docs.google.com/spreadsheets/d/1arpJoJSlKHkJ-Zn4sJxqp3okt8tUTIYCnkob2xnYiCU/edit?usp=sharing"",""May 2026!$"&amp;"A:$AH""),34,0)+vlookup(A12,importrange(""https://docs.google.com/spreadsheets/d/1arpJoJSlKHkJ-Zn4sJxqp3okt8tUTIYCnkob2xnYiCU/edit?usp=sharing"",""June 2026!$A:$AH""),34,0)+vlookup(A12,importrange(""https://docs.google.com/spreadsheets/d/1arpJoJSlKHkJ-Zn4s"&amp;"Jxqp3okt8tUTIYCnkob2xnYiCU/edit?usp=sharing"",""Current Month!$A:$AH""),34,0)"),13.0)</f>
        <v>13</v>
      </c>
      <c r="C12" s="9">
        <f>IFERROR(__xludf.DUMMYFUNCTION("vlookup(A12,importrange(""https://docs.google.com/spreadsheets/d/1arpJoJSlKHkJ-Zn4sJxqp3okt8tUTIYCnkob2xnYiCU/edit?usp=sharing"",""Jan 2026!$A:$AI""),35,0)+vlookup(A12,importrange(""https://docs.google.com/spreadsheets/d/1arpJoJSlKHkJ-Zn4sJxqp3okt8tUTIYCn"&amp;"kob2xnYiCU/edit?usp=sharing"",""Feb 2026!$A:$AI""),35,0)+vlookup(A12,importrange(""https://docs.google.com/spreadsheets/d/1arpJoJSlKHkJ-Zn4sJxqp3okt8tUTIYCnkob2xnYiCU/edit?usp=sharing"",""Mar 2026!$A:$AI""),35,0)+vlookup(A12,importrange(""https://docs.goo"&amp;"gle.com/spreadsheets/d/1arpJoJSlKHkJ-Zn4sJxqp3okt8tUTIYCnkob2xnYiCU/edit?usp=sharing"",""Apr 2026!$A:$AI""),35,0)+vlookup(A12,importrange(""https://docs.google.com/spreadsheets/d/1arpJoJSlKHkJ-Zn4sJxqp3okt8tUTIYCnkob2xnYiCU/edit?usp=sharing"",""May 2026!$"&amp;"A:$AI""),35,0)+vlookup(A12,importrange(""https://docs.google.com/spreadsheets/d/1arpJoJSlKHkJ-Zn4sJxqp3okt8tUTIYCnkob2xnYiCU/edit?usp=sharing"",""June 2026!$A:$AI""),35,0)+vlookup(A12,importrange(""https://docs.google.com/spreadsheets/d/1arpJoJSlKHkJ-Zn4s"&amp;"Jxqp3okt8tUTIYCnkob2xnYiCU/edit?usp=sharing"",""Current Month!$A:$AI""),35,0)"),2.0)</f>
        <v>2</v>
      </c>
      <c r="D12" s="9">
        <f>IFERROR(__xludf.DUMMYFUNCTION("vlookup(A12,importrange(""https://docs.google.com/spreadsheets/d/1arpJoJSlKHkJ-Zn4sJxqp3okt8tUTIYCnkob2xnYiCU/edit?usp=sharing"",""Jan 2026!$A:$AJ""),36,0)+vlookup(A12,importrange(""https://docs.google.com/spreadsheets/d/1arpJoJSlKHkJ-Zn4sJxqp3okt8tUTIYCn"&amp;"kob2xnYiCU/edit?usp=sharing"",""Feb 2026!$A:$AJ""),36,0)+vlookup(A12,importrange(""https://docs.google.com/spreadsheets/d/1arpJoJSlKHkJ-Zn4sJxqp3okt8tUTIYCnkob2xnYiCU/edit?usp=sharing"",""Mar 2026!$A:$AJ""),36,0)+vlookup(A12,importrange(""https://docs.goo"&amp;"gle.com/spreadsheets/d/1arpJoJSlKHkJ-Zn4sJxqp3okt8tUTIYCnkob2xnYiCU/edit?usp=sharing"",""Apr 2026!$A:$AJ""),36,0)+vlookup(A12,importrange(""https://docs.google.com/spreadsheets/d/1arpJoJSlKHkJ-Zn4sJxqp3okt8tUTIYCnkob2xnYiCU/edit?usp=sharing"",""May 2026!$"&amp;"A:$AJ""),36,0)+vlookup(A12,importrange(""https://docs.google.com/spreadsheets/d/1arpJoJSlKHkJ-Zn4sJxqp3okt8tUTIYCnkob2xnYiCU/edit?usp=sharing"",""June 2026!$A:$AJ""),36,0)+vlookup(A12,importrange(""https://docs.google.com/spreadsheets/d/1arpJoJSlKHkJ-Zn4s"&amp;"Jxqp3okt8tUTIYCnkob2xnYiCU/edit?usp=sharing"",""Current Month!$A:$AJ""),36,0)"),0.0)</f>
        <v>0</v>
      </c>
      <c r="E12" s="9">
        <f>IFERROR(__xludf.DUMMYFUNCTION("vlookup(A12,importrange(""https://docs.google.com/spreadsheets/d/1arpJoJSlKHkJ-Zn4sJxqp3okt8tUTIYCnkob2xnYiCU/edit?usp=sharing"",""Jan 2026!$A:$AK""),37,0)+vlookup(A12,importrange(""https://docs.google.com/spreadsheets/d/1arpJoJSlKHkJ-Zn4sJxqp3okt8tUTIYCn"&amp;"kob2xnYiCU/edit?usp=sharing"",""Feb 2026!$A:$AK""),37,0)+vlookup(A12,importrange(""https://docs.google.com/spreadsheets/d/1arpJoJSlKHkJ-Zn4sJxqp3okt8tUTIYCnkob2xnYiCU/edit?usp=sharing"",""Mar 2026!$A:$AK""),37,0)+vlookup(A12,importrange(""https://docs.goo"&amp;"gle.com/spreadsheets/d/1arpJoJSlKHkJ-Zn4sJxqp3okt8tUTIYCnkob2xnYiCU/edit?usp=sharing"",""Apr 2026!$A:$AK""),37,0)+vlookup(A12,importrange(""https://docs.google.com/spreadsheets/d/1arpJoJSlKHkJ-Zn4sJxqp3okt8tUTIYCnkob2xnYiCU/edit?usp=sharing"",""May 2026!$"&amp;"A:$AK""),37,0)+vlookup(A12,importrange(""https://docs.google.com/spreadsheets/d/1arpJoJSlKHkJ-Zn4sJxqp3okt8tUTIYCnkob2xnYiCU/edit?usp=sharing"",""June 2026!$A:$AK""),37,0)+vlookup(A12,importrange(""https://docs.google.com/spreadsheets/d/1arpJoJSlKHkJ-Zn4s"&amp;"Jxqp3okt8tUTIYCnkob2xnYiCU/edit?usp=sharing"",""Current Month!$A:$AK""),37,0)"),0.0)</f>
        <v>0</v>
      </c>
      <c r="F12" s="9">
        <f t="shared" si="1"/>
        <v>2</v>
      </c>
      <c r="G12" s="9">
        <f>IFERROR(__xludf.DUMMYFUNCTION("vlookup(A12,importrange(""https://docs.google.com/spreadsheets/d/1arpJoJSlKHkJ-Zn4sJxqp3okt8tUTIYCnkob2xnYiCU/edit?usp=sharing"",""Jan 2026!$A:$AN""),40,0)+vlookup(A12,importrange(""https://docs.google.com/spreadsheets/d/1arpJoJSlKHkJ-Zn4sJxqp3okt8tUTIYCn"&amp;"kob2xnYiCU/edit?usp=sharing"",""Feb 2026!$A:$AN""),40,0)+vlookup(A12,importrange(""https://docs.google.com/spreadsheets/d/1arpJoJSlKHkJ-Zn4sJxqp3okt8tUTIYCnkob2xnYiCU/edit?usp=sharing"",""Mar 2026!$A:$AN""),40,0)+vlookup(A12,importrange(""https://docs.goo"&amp;"gle.com/spreadsheets/d/1arpJoJSlKHkJ-Zn4sJxqp3okt8tUTIYCnkob2xnYiCU/edit?usp=sharing"",""Apr 2026!$A:$AN""),40,0)+vlookup(A12,importrange(""https://docs.google.com/spreadsheets/d/1arpJoJSlKHkJ-Zn4sJxqp3okt8tUTIYCnkob2xnYiCU/edit?usp=sharing"",""May 2026!$"&amp;"A:$AN""),40,0)+vlookup(A12,importrange(""https://docs.google.com/spreadsheets/d/1arpJoJSlKHkJ-Zn4sJxqp3okt8tUTIYCnkob2xnYiCU/edit?usp=sharing"",""June 2026!$A:$AN""),40,0)+vlookup(A12,importrange(""https://docs.google.com/spreadsheets/d/1arpJoJSlKHkJ-Zn4s"&amp;"Jxqp3okt8tUTIYCnkob2xnYiCU/edit?usp=sharing"",""Current Month!$A:$AN""),40,0)"),2.0)</f>
        <v>2</v>
      </c>
      <c r="H12" s="9">
        <v>12.0</v>
      </c>
      <c r="I12" s="10">
        <f t="shared" si="2"/>
        <v>6</v>
      </c>
      <c r="J12" s="9">
        <f>IFERROR(__xludf.DUMMYFUNCTION("vlookup(A12,importrange(""https://docs.google.com/spreadsheets/d/1arpJoJSlKHkJ-Zn4sJxqp3okt8tUTIYCnkob2xnYiCU/edit?usp=sharing"",""Jan 2026!$A:$AP""),41,0)+vlookup(A12,importrange(""https://docs.google.com/spreadsheets/d/1arpJoJSlKHkJ-Zn4sJxqp3okt8tUTIYCn"&amp;"kob2xnYiCU/edit?usp=sharing"",""Feb 2026!$A:$AP""),41,0)+vlookup(A12,importrange(""https://docs.google.com/spreadsheets/d/1arpJoJSlKHkJ-Zn4sJxqp3okt8tUTIYCnkob2xnYiCU/edit?usp=sharing"",""Mar 2026!$A:$AP""),41,0)+vlookup(A12,importrange(""https://docs.goo"&amp;"gle.com/spreadsheets/d/1arpJoJSlKHkJ-Zn4sJxqp3okt8tUTIYCnkob2xnYiCU/edit?usp=sharing"",""Current Month!$A:$AP""),41,0)"),7.0)</f>
        <v>7</v>
      </c>
      <c r="K12" s="11">
        <f>IFERROR(__xludf.DUMMYFUNCTION("J12/((vlookup(A12,importrange(""https://docs.google.com/spreadsheets/d/1arpJoJSlKHkJ-Zn4sJxqp3okt8tUTIYCnkob2xnYiCU/edit?usp=sharing"",""Jan 2026!$A:$AG""),33,0))+(vlookup(A12,importrange(""https://docs.google.com/spreadsheets/d/1arpJoJSlKHkJ-Zn4sJxqp3okt"&amp;"8tUTIYCnkob2xnYiCU/edit?usp=sharing"",""Feb 2026!$A:$AG""),33,0))+(vlookup(A12,importrange(""https://docs.google.com/spreadsheets/d/1arpJoJSlKHkJ-Zn4sJxqp3okt8tUTIYCnkob2xnYiCU/edit?usp=sharing"",""Mar 2026!$A:$AG""),33,0))+(vlookup(A12,importrange(""http"&amp;"s://docs.google.com/spreadsheets/d/1arpJoJSlKHkJ-Zn4sJxqp3okt8tUTIYCnkob2xnYiCU/edit?usp=sharing"",""Apr 2026!$A:$AG""),33,0))+(vlookup(A12,importrange(""https://docs.google.com/spreadsheets/d/1arpJoJSlKHkJ-Zn4sJxqp3okt8tUTIYCnkob2xnYiCU/edit?usp=sharing"&amp;""",""Current Month!$A:$AG""),33,0)))"),0.08433734939759036)</f>
        <v>0.0843373494</v>
      </c>
      <c r="L12" s="9">
        <f>IFERROR(__xludf.DUMMYFUNCTION("vlookup(A12,importrange(""https://docs.google.com/spreadsheets/d/1arpJoJSlKHkJ-Zn4sJxqp3okt8tUTIYCnkob2xnYiCU/edit?usp=sharing"",""Current Month!$A:$AP""),42,0)+vlookup(A12,importrange(""https://docs.google.com/spreadsheets/d/1arpJoJSlKHkJ-Zn4sJxqp3okt8tU"&amp;"TIYCnkob2xnYiCU/edit?usp=sharing"",""Jan 2026!$A:$AP""),42,0)+vlookup(A12,importrange(""https://docs.google.com/spreadsheets/d/1arpJoJSlKHkJ-Zn4sJxqp3okt8tUTIYCnkob2xnYiCU/edit?usp=sharing"",""Feb 2026!$A:$AP""),42,0)+vlookup(A12,importrange(""https://doc"&amp;"s.google.com/spreadsheets/d/1arpJoJSlKHkJ-Zn4sJxqp3okt8tUTIYCnkob2xnYiCU/edit?usp=sharing"",""Mar 2026!$A:$AP""),42,0)+vlookup(A12,importrange(""https://docs.google.com/spreadsheets/d/1arpJoJSlKHkJ-Zn4sJxqp3okt8tUTIYCnkob2xnYiCU/edit?usp=sharing"",""Apr 2"&amp;"026!$A:$AP""),42,0)"),1.0)</f>
        <v>1</v>
      </c>
    </row>
    <row r="13" ht="15.75" customHeight="1">
      <c r="A13" s="8" t="s">
        <v>22</v>
      </c>
      <c r="B13" s="9">
        <f>IFERROR(__xludf.DUMMYFUNCTION("vlookup(A13,importrange(""https://docs.google.com/spreadsheets/d/1arpJoJSlKHkJ-Zn4sJxqp3okt8tUTIYCnkob2xnYiCU/edit?usp=sharing"",""Jan 2026!$A:$AH""),34,0)+vlookup(A13,importrange(""https://docs.google.com/spreadsheets/d/1arpJoJSlKHkJ-Zn4sJxqp3okt8tUTIYCn"&amp;"kob2xnYiCU/edit?usp=sharing"",""Feb 2026!$A:$AH""),34,0)+vlookup(A13,importrange(""https://docs.google.com/spreadsheets/d/1arpJoJSlKHkJ-Zn4sJxqp3okt8tUTIYCnkob2xnYiCU/edit?usp=sharing"",""Mar 2026!$A:$AH""),34,0)+vlookup(A13,importrange(""https://docs.goo"&amp;"gle.com/spreadsheets/d/1arpJoJSlKHkJ-Zn4sJxqp3okt8tUTIYCnkob2xnYiCU/edit?usp=sharing"",""Apr 2026!$A:$AH""),34,0)+vlookup(A13,importrange(""https://docs.google.com/spreadsheets/d/1arpJoJSlKHkJ-Zn4sJxqp3okt8tUTIYCnkob2xnYiCU/edit?usp=sharing"",""May 2026!$"&amp;"A:$AH""),34,0)+vlookup(A13,importrange(""https://docs.google.com/spreadsheets/d/1arpJoJSlKHkJ-Zn4sJxqp3okt8tUTIYCnkob2xnYiCU/edit?usp=sharing"",""June 2026!$A:$AH""),34,0)+vlookup(A13,importrange(""https://docs.google.com/spreadsheets/d/1arpJoJSlKHkJ-Zn4s"&amp;"Jxqp3okt8tUTIYCnkob2xnYiCU/edit?usp=sharing"",""Current Month!$A:$AH""),34,0)"),0.0)</f>
        <v>0</v>
      </c>
      <c r="C13" s="9">
        <f>IFERROR(__xludf.DUMMYFUNCTION("vlookup(A13,importrange(""https://docs.google.com/spreadsheets/d/1arpJoJSlKHkJ-Zn4sJxqp3okt8tUTIYCnkob2xnYiCU/edit?usp=sharing"",""Jan 2026!$A:$AI""),35,0)+vlookup(A13,importrange(""https://docs.google.com/spreadsheets/d/1arpJoJSlKHkJ-Zn4sJxqp3okt8tUTIYCn"&amp;"kob2xnYiCU/edit?usp=sharing"",""Feb 2026!$A:$AI""),35,0)+vlookup(A13,importrange(""https://docs.google.com/spreadsheets/d/1arpJoJSlKHkJ-Zn4sJxqp3okt8tUTIYCnkob2xnYiCU/edit?usp=sharing"",""Mar 2026!$A:$AI""),35,0)+vlookup(A13,importrange(""https://docs.goo"&amp;"gle.com/spreadsheets/d/1arpJoJSlKHkJ-Zn4sJxqp3okt8tUTIYCnkob2xnYiCU/edit?usp=sharing"",""Apr 2026!$A:$AI""),35,0)+vlookup(A13,importrange(""https://docs.google.com/spreadsheets/d/1arpJoJSlKHkJ-Zn4sJxqp3okt8tUTIYCnkob2xnYiCU/edit?usp=sharing"",""May 2026!$"&amp;"A:$AI""),35,0)+vlookup(A13,importrange(""https://docs.google.com/spreadsheets/d/1arpJoJSlKHkJ-Zn4sJxqp3okt8tUTIYCnkob2xnYiCU/edit?usp=sharing"",""June 2026!$A:$AI""),35,0)+vlookup(A13,importrange(""https://docs.google.com/spreadsheets/d/1arpJoJSlKHkJ-Zn4s"&amp;"Jxqp3okt8tUTIYCnkob2xnYiCU/edit?usp=sharing"",""Current Month!$A:$AI""),35,0)"),0.0)</f>
        <v>0</v>
      </c>
      <c r="D13" s="9">
        <f>IFERROR(__xludf.DUMMYFUNCTION("vlookup(A13,importrange(""https://docs.google.com/spreadsheets/d/1arpJoJSlKHkJ-Zn4sJxqp3okt8tUTIYCnkob2xnYiCU/edit?usp=sharing"",""Jan 2026!$A:$AJ""),36,0)+vlookup(A13,importrange(""https://docs.google.com/spreadsheets/d/1arpJoJSlKHkJ-Zn4sJxqp3okt8tUTIYCn"&amp;"kob2xnYiCU/edit?usp=sharing"",""Feb 2026!$A:$AJ""),36,0)+vlookup(A13,importrange(""https://docs.google.com/spreadsheets/d/1arpJoJSlKHkJ-Zn4sJxqp3okt8tUTIYCnkob2xnYiCU/edit?usp=sharing"",""Mar 2026!$A:$AJ""),36,0)+vlookup(A13,importrange(""https://docs.goo"&amp;"gle.com/spreadsheets/d/1arpJoJSlKHkJ-Zn4sJxqp3okt8tUTIYCnkob2xnYiCU/edit?usp=sharing"",""Apr 2026!$A:$AJ""),36,0)+vlookup(A13,importrange(""https://docs.google.com/spreadsheets/d/1arpJoJSlKHkJ-Zn4sJxqp3okt8tUTIYCnkob2xnYiCU/edit?usp=sharing"",""May 2026!$"&amp;"A:$AJ""),36,0)+vlookup(A13,importrange(""https://docs.google.com/spreadsheets/d/1arpJoJSlKHkJ-Zn4sJxqp3okt8tUTIYCnkob2xnYiCU/edit?usp=sharing"",""June 2026!$A:$AJ""),36,0)+vlookup(A13,importrange(""https://docs.google.com/spreadsheets/d/1arpJoJSlKHkJ-Zn4s"&amp;"Jxqp3okt8tUTIYCnkob2xnYiCU/edit?usp=sharing"",""Current Month!$A:$AJ""),36,0)"),0.0)</f>
        <v>0</v>
      </c>
      <c r="E13" s="9">
        <f>IFERROR(__xludf.DUMMYFUNCTION("vlookup(A13,importrange(""https://docs.google.com/spreadsheets/d/1arpJoJSlKHkJ-Zn4sJxqp3okt8tUTIYCnkob2xnYiCU/edit?usp=sharing"",""Jan 2026!$A:$AK""),37,0)+vlookup(A13,importrange(""https://docs.google.com/spreadsheets/d/1arpJoJSlKHkJ-Zn4sJxqp3okt8tUTIYCn"&amp;"kob2xnYiCU/edit?usp=sharing"",""Feb 2026!$A:$AK""),37,0)+vlookup(A13,importrange(""https://docs.google.com/spreadsheets/d/1arpJoJSlKHkJ-Zn4sJxqp3okt8tUTIYCnkob2xnYiCU/edit?usp=sharing"",""Mar 2026!$A:$AK""),37,0)+vlookup(A13,importrange(""https://docs.goo"&amp;"gle.com/spreadsheets/d/1arpJoJSlKHkJ-Zn4sJxqp3okt8tUTIYCnkob2xnYiCU/edit?usp=sharing"",""Apr 2026!$A:$AK""),37,0)+vlookup(A13,importrange(""https://docs.google.com/spreadsheets/d/1arpJoJSlKHkJ-Zn4sJxqp3okt8tUTIYCnkob2xnYiCU/edit?usp=sharing"",""May 2026!$"&amp;"A:$AK""),37,0)+vlookup(A13,importrange(""https://docs.google.com/spreadsheets/d/1arpJoJSlKHkJ-Zn4sJxqp3okt8tUTIYCnkob2xnYiCU/edit?usp=sharing"",""June 2026!$A:$AK""),37,0)+vlookup(A13,importrange(""https://docs.google.com/spreadsheets/d/1arpJoJSlKHkJ-Zn4s"&amp;"Jxqp3okt8tUTIYCnkob2xnYiCU/edit?usp=sharing"",""Current Month!$A:$AK""),37,0)"),0.0)</f>
        <v>0</v>
      </c>
      <c r="F13" s="9">
        <f t="shared" si="1"/>
        <v>4</v>
      </c>
      <c r="G13" s="9">
        <f>IFERROR(__xludf.DUMMYFUNCTION("vlookup(A13,importrange(""https://docs.google.com/spreadsheets/d/1arpJoJSlKHkJ-Zn4sJxqp3okt8tUTIYCnkob2xnYiCU/edit?usp=sharing"",""Jan 2026!$A:$AN""),40,0)+vlookup(A13,importrange(""https://docs.google.com/spreadsheets/d/1arpJoJSlKHkJ-Zn4sJxqp3okt8tUTIYCn"&amp;"kob2xnYiCU/edit?usp=sharing"",""Feb 2026!$A:$AN""),40,0)+vlookup(A13,importrange(""https://docs.google.com/spreadsheets/d/1arpJoJSlKHkJ-Zn4sJxqp3okt8tUTIYCnkob2xnYiCU/edit?usp=sharing"",""Mar 2026!$A:$AN""),40,0)+vlookup(A13,importrange(""https://docs.goo"&amp;"gle.com/spreadsheets/d/1arpJoJSlKHkJ-Zn4sJxqp3okt8tUTIYCnkob2xnYiCU/edit?usp=sharing"",""Apr 2026!$A:$AN""),40,0)+vlookup(A13,importrange(""https://docs.google.com/spreadsheets/d/1arpJoJSlKHkJ-Zn4sJxqp3okt8tUTIYCnkob2xnYiCU/edit?usp=sharing"",""May 2026!$"&amp;"A:$AN""),40,0)+vlookup(A13,importrange(""https://docs.google.com/spreadsheets/d/1arpJoJSlKHkJ-Zn4sJxqp3okt8tUTIYCnkob2xnYiCU/edit?usp=sharing"",""June 2026!$A:$AN""),40,0)+vlookup(A13,importrange(""https://docs.google.com/spreadsheets/d/1arpJoJSlKHkJ-Zn4s"&amp;"Jxqp3okt8tUTIYCnkob2xnYiCU/edit?usp=sharing"",""Current Month!$A:$AN""),40,0)"),0.0)</f>
        <v>0</v>
      </c>
      <c r="H13" s="9">
        <v>12.0</v>
      </c>
      <c r="I13" s="10">
        <f t="shared" si="2"/>
        <v>21</v>
      </c>
      <c r="J13" s="9">
        <f>IFERROR(__xludf.DUMMYFUNCTION("vlookup(A13,importrange(""https://docs.google.com/spreadsheets/d/1arpJoJSlKHkJ-Zn4sJxqp3okt8tUTIYCnkob2xnYiCU/edit?usp=sharing"",""Jan 2026!$A:$AP""),41,0)+vlookup(A13,importrange(""https://docs.google.com/spreadsheets/d/1arpJoJSlKHkJ-Zn4sJxqp3okt8tUTIYCn"&amp;"kob2xnYiCU/edit?usp=sharing"",""Feb 2026!$A:$AP""),41,0)+vlookup(A13,importrange(""https://docs.google.com/spreadsheets/d/1arpJoJSlKHkJ-Zn4sJxqp3okt8tUTIYCnkob2xnYiCU/edit?usp=sharing"",""Mar 2026!$A:$AP""),41,0)+vlookup(A13,importrange(""https://docs.goo"&amp;"gle.com/spreadsheets/d/1arpJoJSlKHkJ-Zn4sJxqp3okt8tUTIYCnkob2xnYiCU/edit?usp=sharing"",""Current Month!$A:$AP""),41,0)"),0.0)</f>
        <v>0</v>
      </c>
      <c r="K13" s="11">
        <f>IFERROR(__xludf.DUMMYFUNCTION("J13/((vlookup(A13,importrange(""https://docs.google.com/spreadsheets/d/1arpJoJSlKHkJ-Zn4sJxqp3okt8tUTIYCnkob2xnYiCU/edit?usp=sharing"",""Jan 2026!$A:$AG""),33,0))+(vlookup(A13,importrange(""https://docs.google.com/spreadsheets/d/1arpJoJSlKHkJ-Zn4sJxqp3okt"&amp;"8tUTIYCnkob2xnYiCU/edit?usp=sharing"",""Feb 2026!$A:$AG""),33,0))+(vlookup(A13,importrange(""https://docs.google.com/spreadsheets/d/1arpJoJSlKHkJ-Zn4sJxqp3okt8tUTIYCnkob2xnYiCU/edit?usp=sharing"",""Mar 2026!$A:$AG""),33,0))+(vlookup(A13,importrange(""http"&amp;"s://docs.google.com/spreadsheets/d/1arpJoJSlKHkJ-Zn4sJxqp3okt8tUTIYCnkob2xnYiCU/edit?usp=sharing"",""Apr 2026!$A:$AG""),33,0))+(vlookup(A13,importrange(""https://docs.google.com/spreadsheets/d/1arpJoJSlKHkJ-Zn4sJxqp3okt8tUTIYCnkob2xnYiCU/edit?usp=sharing"&amp;""",""Current Month!$A:$AG""),33,0)))"),0.0)</f>
        <v>0</v>
      </c>
      <c r="L13" s="9">
        <f>IFERROR(__xludf.DUMMYFUNCTION("vlookup(A13,importrange(""https://docs.google.com/spreadsheets/d/1arpJoJSlKHkJ-Zn4sJxqp3okt8tUTIYCnkob2xnYiCU/edit?usp=sharing"",""Current Month!$A:$AP""),42,0)+vlookup(A13,importrange(""https://docs.google.com/spreadsheets/d/1arpJoJSlKHkJ-Zn4sJxqp3okt8tU"&amp;"TIYCnkob2xnYiCU/edit?usp=sharing"",""Jan 2026!$A:$AP""),42,0)+vlookup(A13,importrange(""https://docs.google.com/spreadsheets/d/1arpJoJSlKHkJ-Zn4sJxqp3okt8tUTIYCnkob2xnYiCU/edit?usp=sharing"",""Feb 2026!$A:$AP""),42,0)+vlookup(A13,importrange(""https://doc"&amp;"s.google.com/spreadsheets/d/1arpJoJSlKHkJ-Zn4sJxqp3okt8tUTIYCnkob2xnYiCU/edit?usp=sharing"",""Mar 2026!$A:$AP""),42,0)+vlookup(A13,importrange(""https://docs.google.com/spreadsheets/d/1arpJoJSlKHkJ-Zn4sJxqp3okt8tUTIYCnkob2xnYiCU/edit?usp=sharing"",""Apr 2"&amp;"026!$A:$AP""),42,0)"),26.0)</f>
        <v>26</v>
      </c>
    </row>
    <row r="14">
      <c r="A14" s="8" t="s">
        <v>23</v>
      </c>
      <c r="B14" s="9">
        <f>IFERROR(__xludf.DUMMYFUNCTION("vlookup(A14,importrange(""https://docs.google.com/spreadsheets/d/1arpJoJSlKHkJ-Zn4sJxqp3okt8tUTIYCnkob2xnYiCU/edit?usp=sharing"",""Jan 2026!$A:$AH""),34,0)+vlookup(A14,importrange(""https://docs.google.com/spreadsheets/d/1arpJoJSlKHkJ-Zn4sJxqp3okt8tUTIYCn"&amp;"kob2xnYiCU/edit?usp=sharing"",""Feb 2026!$A:$AH""),34,0)+vlookup(A14,importrange(""https://docs.google.com/spreadsheets/d/1arpJoJSlKHkJ-Zn4sJxqp3okt8tUTIYCnkob2xnYiCU/edit?usp=sharing"",""Mar 2026!$A:$AH""),34,0)+vlookup(A14,importrange(""https://docs.goo"&amp;"gle.com/spreadsheets/d/1arpJoJSlKHkJ-Zn4sJxqp3okt8tUTIYCnkob2xnYiCU/edit?usp=sharing"",""Apr 2026!$A:$AH""),34,0)+vlookup(A14,importrange(""https://docs.google.com/spreadsheets/d/1arpJoJSlKHkJ-Zn4sJxqp3okt8tUTIYCnkob2xnYiCU/edit?usp=sharing"",""May 2026!$"&amp;"A:$AH""),34,0)+vlookup(A14,importrange(""https://docs.google.com/spreadsheets/d/1arpJoJSlKHkJ-Zn4sJxqp3okt8tUTIYCnkob2xnYiCU/edit?usp=sharing"",""June 2026!$A:$AH""),34,0)+vlookup(A14,importrange(""https://docs.google.com/spreadsheets/d/1arpJoJSlKHkJ-Zn4s"&amp;"Jxqp3okt8tUTIYCnkob2xnYiCU/edit?usp=sharing"",""Current Month!$A:$AH""),34,0)"),4.0)</f>
        <v>4</v>
      </c>
      <c r="C14" s="9">
        <f>IFERROR(__xludf.DUMMYFUNCTION("vlookup(A14,importrange(""https://docs.google.com/spreadsheets/d/1arpJoJSlKHkJ-Zn4sJxqp3okt8tUTIYCnkob2xnYiCU/edit?usp=sharing"",""Jan 2026!$A:$AI""),35,0)+vlookup(A14,importrange(""https://docs.google.com/spreadsheets/d/1arpJoJSlKHkJ-Zn4sJxqp3okt8tUTIYCn"&amp;"kob2xnYiCU/edit?usp=sharing"",""Feb 2026!$A:$AI""),35,0)+vlookup(A14,importrange(""https://docs.google.com/spreadsheets/d/1arpJoJSlKHkJ-Zn4sJxqp3okt8tUTIYCnkob2xnYiCU/edit?usp=sharing"",""Mar 2026!$A:$AI""),35,0)+vlookup(A14,importrange(""https://docs.goo"&amp;"gle.com/spreadsheets/d/1arpJoJSlKHkJ-Zn4sJxqp3okt8tUTIYCnkob2xnYiCU/edit?usp=sharing"",""Apr 2026!$A:$AI""),35,0)+vlookup(A14,importrange(""https://docs.google.com/spreadsheets/d/1arpJoJSlKHkJ-Zn4sJxqp3okt8tUTIYCnkob2xnYiCU/edit?usp=sharing"",""May 2026!$"&amp;"A:$AI""),35,0)+vlookup(A14,importrange(""https://docs.google.com/spreadsheets/d/1arpJoJSlKHkJ-Zn4sJxqp3okt8tUTIYCnkob2xnYiCU/edit?usp=sharing"",""June 2026!$A:$AI""),35,0)+vlookup(A14,importrange(""https://docs.google.com/spreadsheets/d/1arpJoJSlKHkJ-Zn4s"&amp;"Jxqp3okt8tUTIYCnkob2xnYiCU/edit?usp=sharing"",""Current Month!$A:$AI""),35,0)"),6.5)</f>
        <v>6.5</v>
      </c>
      <c r="D14" s="9">
        <f>IFERROR(__xludf.DUMMYFUNCTION("vlookup(A14,importrange(""https://docs.google.com/spreadsheets/d/1arpJoJSlKHkJ-Zn4sJxqp3okt8tUTIYCnkob2xnYiCU/edit?usp=sharing"",""Jan 2026!$A:$AJ""),36,0)+vlookup(A14,importrange(""https://docs.google.com/spreadsheets/d/1arpJoJSlKHkJ-Zn4sJxqp3okt8tUTIYCn"&amp;"kob2xnYiCU/edit?usp=sharing"",""Feb 2026!$A:$AJ""),36,0)+vlookup(A14,importrange(""https://docs.google.com/spreadsheets/d/1arpJoJSlKHkJ-Zn4sJxqp3okt8tUTIYCnkob2xnYiCU/edit?usp=sharing"",""Mar 2026!$A:$AJ""),36,0)+vlookup(A14,importrange(""https://docs.goo"&amp;"gle.com/spreadsheets/d/1arpJoJSlKHkJ-Zn4sJxqp3okt8tUTIYCnkob2xnYiCU/edit?usp=sharing"",""Apr 2026!$A:$AJ""),36,0)+vlookup(A14,importrange(""https://docs.google.com/spreadsheets/d/1arpJoJSlKHkJ-Zn4sJxqp3okt8tUTIYCnkob2xnYiCU/edit?usp=sharing"",""May 2026!$"&amp;"A:$AJ""),36,0)+vlookup(A14,importrange(""https://docs.google.com/spreadsheets/d/1arpJoJSlKHkJ-Zn4sJxqp3okt8tUTIYCnkob2xnYiCU/edit?usp=sharing"",""June 2026!$A:$AJ""),36,0)+vlookup(A14,importrange(""https://docs.google.com/spreadsheets/d/1arpJoJSlKHkJ-Zn4s"&amp;"Jxqp3okt8tUTIYCnkob2xnYiCU/edit?usp=sharing"",""Current Month!$A:$AJ""),36,0)"),0.0)</f>
        <v>0</v>
      </c>
      <c r="E14" s="9">
        <f>IFERROR(__xludf.DUMMYFUNCTION("vlookup(A14,importrange(""https://docs.google.com/spreadsheets/d/1arpJoJSlKHkJ-Zn4sJxqp3okt8tUTIYCnkob2xnYiCU/edit?usp=sharing"",""Jan 2026!$A:$AK""),37,0)+vlookup(A14,importrange(""https://docs.google.com/spreadsheets/d/1arpJoJSlKHkJ-Zn4sJxqp3okt8tUTIYCn"&amp;"kob2xnYiCU/edit?usp=sharing"",""Feb 2026!$A:$AK""),37,0)+vlookup(A14,importrange(""https://docs.google.com/spreadsheets/d/1arpJoJSlKHkJ-Zn4sJxqp3okt8tUTIYCnkob2xnYiCU/edit?usp=sharing"",""Mar 2026!$A:$AK""),37,0)+vlookup(A14,importrange(""https://docs.goo"&amp;"gle.com/spreadsheets/d/1arpJoJSlKHkJ-Zn4sJxqp3okt8tUTIYCnkob2xnYiCU/edit?usp=sharing"",""Apr 2026!$A:$AK""),37,0)+vlookup(A14,importrange(""https://docs.google.com/spreadsheets/d/1arpJoJSlKHkJ-Zn4sJxqp3okt8tUTIYCnkob2xnYiCU/edit?usp=sharing"",""May 2026!$"&amp;"A:$AK""),37,0)+vlookup(A14,importrange(""https://docs.google.com/spreadsheets/d/1arpJoJSlKHkJ-Zn4sJxqp3okt8tUTIYCnkob2xnYiCU/edit?usp=sharing"",""June 2026!$A:$AK""),37,0)+vlookup(A14,importrange(""https://docs.google.com/spreadsheets/d/1arpJoJSlKHkJ-Zn4s"&amp;"Jxqp3okt8tUTIYCnkob2xnYiCU/edit?usp=sharing"",""Current Month!$A:$AK""),37,0)"),0.0)</f>
        <v>0</v>
      </c>
      <c r="F14" s="9">
        <f t="shared" si="1"/>
        <v>3</v>
      </c>
      <c r="G14" s="9">
        <f>IFERROR(__xludf.DUMMYFUNCTION("vlookup(A14,importrange(""https://docs.google.com/spreadsheets/d/1arpJoJSlKHkJ-Zn4sJxqp3okt8tUTIYCnkob2xnYiCU/edit?usp=sharing"",""Jan 2026!$A:$AN""),40,0)+vlookup(A14,importrange(""https://docs.google.com/spreadsheets/d/1arpJoJSlKHkJ-Zn4sJxqp3okt8tUTIYCn"&amp;"kob2xnYiCU/edit?usp=sharing"",""Feb 2026!$A:$AN""),40,0)+vlookup(A14,importrange(""https://docs.google.com/spreadsheets/d/1arpJoJSlKHkJ-Zn4sJxqp3okt8tUTIYCnkob2xnYiCU/edit?usp=sharing"",""Mar 2026!$A:$AN""),40,0)+vlookup(A14,importrange(""https://docs.goo"&amp;"gle.com/spreadsheets/d/1arpJoJSlKHkJ-Zn4sJxqp3okt8tUTIYCnkob2xnYiCU/edit?usp=sharing"",""Apr 2026!$A:$AN""),40,0)+vlookup(A14,importrange(""https://docs.google.com/spreadsheets/d/1arpJoJSlKHkJ-Zn4sJxqp3okt8tUTIYCnkob2xnYiCU/edit?usp=sharing"",""May 2026!$"&amp;"A:$AN""),40,0)+vlookup(A14,importrange(""https://docs.google.com/spreadsheets/d/1arpJoJSlKHkJ-Zn4sJxqp3okt8tUTIYCnkob2xnYiCU/edit?usp=sharing"",""June 2026!$A:$AN""),40,0)+vlookup(A14,importrange(""https://docs.google.com/spreadsheets/d/1arpJoJSlKHkJ-Zn4s"&amp;"Jxqp3okt8tUTIYCnkob2xnYiCU/edit?usp=sharing"",""Current Month!$A:$AN""),40,0)"),1.0)</f>
        <v>1</v>
      </c>
      <c r="H14" s="9">
        <v>12.0</v>
      </c>
      <c r="I14" s="10">
        <f t="shared" si="2"/>
        <v>10.5</v>
      </c>
      <c r="J14" s="9">
        <f>IFERROR(__xludf.DUMMYFUNCTION("vlookup(A14,importrange(""https://docs.google.com/spreadsheets/d/1arpJoJSlKHkJ-Zn4sJxqp3okt8tUTIYCnkob2xnYiCU/edit?usp=sharing"",""Jan 2026!$A:$AP""),41,0)+vlookup(A14,importrange(""https://docs.google.com/spreadsheets/d/1arpJoJSlKHkJ-Zn4sJxqp3okt8tUTIYCn"&amp;"kob2xnYiCU/edit?usp=sharing"",""Feb 2026!$A:$AP""),41,0)+vlookup(A14,importrange(""https://docs.google.com/spreadsheets/d/1arpJoJSlKHkJ-Zn4sJxqp3okt8tUTIYCnkob2xnYiCU/edit?usp=sharing"",""Mar 2026!$A:$AP""),41,0)+vlookup(A14,importrange(""https://docs.goo"&amp;"gle.com/spreadsheets/d/1arpJoJSlKHkJ-Zn4sJxqp3okt8tUTIYCnkob2xnYiCU/edit?usp=sharing"",""Current Month!$A:$AP""),41,0)"),9.0)</f>
        <v>9</v>
      </c>
      <c r="K14" s="11">
        <f>IFERROR(__xludf.DUMMYFUNCTION("J14/((vlookup(A14,importrange(""https://docs.google.com/spreadsheets/d/1arpJoJSlKHkJ-Zn4sJxqp3okt8tUTIYCnkob2xnYiCU/edit?usp=sharing"",""Jan 2026!$A:$AG""),33,0))+(vlookup(A14,importrange(""https://docs.google.com/spreadsheets/d/1arpJoJSlKHkJ-Zn4sJxqp3okt"&amp;"8tUTIYCnkob2xnYiCU/edit?usp=sharing"",""Feb 2026!$A:$AG""),33,0))+(vlookup(A14,importrange(""https://docs.google.com/spreadsheets/d/1arpJoJSlKHkJ-Zn4sJxqp3okt8tUTIYCnkob2xnYiCU/edit?usp=sharing"",""Mar 2026!$A:$AG""),33,0))+(vlookup(A14,importrange(""http"&amp;"s://docs.google.com/spreadsheets/d/1arpJoJSlKHkJ-Zn4sJxqp3okt8tUTIYCnkob2xnYiCU/edit?usp=sharing"",""Apr 2026!$A:$AG""),33,0))+(vlookup(A14,importrange(""https://docs.google.com/spreadsheets/d/1arpJoJSlKHkJ-Zn4sJxqp3okt8tUTIYCnkob2xnYiCU/edit?usp=sharing"&amp;""",""Current Month!$A:$AG""),33,0)))"),0.09424083769633508)</f>
        <v>0.0942408377</v>
      </c>
      <c r="L14" s="9">
        <f>IFERROR(__xludf.DUMMYFUNCTION("vlookup(A14,importrange(""https://docs.google.com/spreadsheets/d/1arpJoJSlKHkJ-Zn4sJxqp3okt8tUTIYCnkob2xnYiCU/edit?usp=sharing"",""Current Month!$A:$AP""),42,0)+vlookup(A14,importrange(""https://docs.google.com/spreadsheets/d/1arpJoJSlKHkJ-Zn4sJxqp3okt8tU"&amp;"TIYCnkob2xnYiCU/edit?usp=sharing"",""Jan 2026!$A:$AP""),42,0)+vlookup(A14,importrange(""https://docs.google.com/spreadsheets/d/1arpJoJSlKHkJ-Zn4sJxqp3okt8tUTIYCnkob2xnYiCU/edit?usp=sharing"",""Feb 2026!$A:$AP""),42,0)+vlookup(A14,importrange(""https://doc"&amp;"s.google.com/spreadsheets/d/1arpJoJSlKHkJ-Zn4sJxqp3okt8tUTIYCnkob2xnYiCU/edit?usp=sharing"",""Mar 2026!$A:$AP""),42,0)+vlookup(A14,importrange(""https://docs.google.com/spreadsheets/d/1arpJoJSlKHkJ-Zn4sJxqp3okt8tUTIYCnkob2xnYiCU/edit?usp=sharing"",""Apr 2"&amp;"026!$A:$AP""),42,0)"),2.0)</f>
        <v>2</v>
      </c>
    </row>
    <row r="15" ht="15.75" hidden="1" customHeight="1">
      <c r="A15" s="8" t="s">
        <v>24</v>
      </c>
      <c r="B15" s="9" t="str">
        <f>IFERROR(__xludf.DUMMYFUNCTION("vlookup(A15,importrange(""https://docs.google.com/spreadsheets/d/1arpJoJSlKHkJ-Zn4sJxqp3okt8tUTIYCnkob2xnYiCU/edit?usp=sharing"",""Jan 2026!$A:$AH""),34,0)+vlookup(A15,importrange(""https://docs.google.com/spreadsheets/d/1arpJoJSlKHkJ-Zn4sJxqp3okt8tUTIYCn"&amp;"kob2xnYiCU/edit?usp=sharing"",""Feb 2026!$A:$AH""),34,0)+vlookup(A15,importrange(""https://docs.google.com/spreadsheets/d/1arpJoJSlKHkJ-Zn4sJxqp3okt8tUTIYCnkob2xnYiCU/edit?usp=sharing"",""Mar 2026!$A:$AH""),34,0)+vlookup(A15,importrange(""https://docs.goo"&amp;"gle.com/spreadsheets/d/1arpJoJSlKHkJ-Zn4sJxqp3okt8tUTIYCnkob2xnYiCU/edit?usp=sharing"",""Apr 2026!$A:$AH""),34,0)+vlookup(A15,importrange(""https://docs.google.com/spreadsheets/d/1arpJoJSlKHkJ-Zn4sJxqp3okt8tUTIYCnkob2xnYiCU/edit?usp=sharing"",""May 2026!$"&amp;"A:$AH""),34,0)+vlookup(A15,importrange(""https://docs.google.com/spreadsheets/d/1arpJoJSlKHkJ-Zn4sJxqp3okt8tUTIYCnkob2xnYiCU/edit?usp=sharing"",""June 2026!$A:$AH""),34,0)+vlookup(A15,importrange(""https://docs.google.com/spreadsheets/d/1arpJoJSlKHkJ-Zn4s"&amp;"Jxqp3okt8tUTIYCnkob2xnYiCU/edit?usp=sharing"",""Current Month!$A:$AH""),34,0)"),"#N/A")</f>
        <v>#N/A</v>
      </c>
      <c r="C15" s="9" t="str">
        <f>IFERROR(__xludf.DUMMYFUNCTION("vlookup(A15,importrange(""https://docs.google.com/spreadsheets/d/1arpJoJSlKHkJ-Zn4sJxqp3okt8tUTIYCnkob2xnYiCU/edit?usp=sharing"",""Jan 2026!$A:$AI""),35,0)+vlookup(A15,importrange(""https://docs.google.com/spreadsheets/d/1arpJoJSlKHkJ-Zn4sJxqp3okt8tUTIYCn"&amp;"kob2xnYiCU/edit?usp=sharing"",""Feb 2026!$A:$AI""),35,0)+vlookup(A15,importrange(""https://docs.google.com/spreadsheets/d/1arpJoJSlKHkJ-Zn4sJxqp3okt8tUTIYCnkob2xnYiCU/edit?usp=sharing"",""Mar 2026!$A:$AI""),35,0)+vlookup(A15,importrange(""https://docs.goo"&amp;"gle.com/spreadsheets/d/1arpJoJSlKHkJ-Zn4sJxqp3okt8tUTIYCnkob2xnYiCU/edit?usp=sharing"",""Apr 2026!$A:$AI""),35,0)+vlookup(A15,importrange(""https://docs.google.com/spreadsheets/d/1arpJoJSlKHkJ-Zn4sJxqp3okt8tUTIYCnkob2xnYiCU/edit?usp=sharing"",""May 2026!$"&amp;"A:$AI""),35,0)+vlookup(A15,importrange(""https://docs.google.com/spreadsheets/d/1arpJoJSlKHkJ-Zn4sJxqp3okt8tUTIYCnkob2xnYiCU/edit?usp=sharing"",""June 2026!$A:$AI""),35,0)+vlookup(A15,importrange(""https://docs.google.com/spreadsheets/d/1arpJoJSlKHkJ-Zn4s"&amp;"Jxqp3okt8tUTIYCnkob2xnYiCU/edit?usp=sharing"",""Current Month!$A:$AI""),35,0)"),"#N/A")</f>
        <v>#N/A</v>
      </c>
      <c r="D15" s="9" t="str">
        <f>IFERROR(__xludf.DUMMYFUNCTION("vlookup(A15,importrange(""https://docs.google.com/spreadsheets/d/1arpJoJSlKHkJ-Zn4sJxqp3okt8tUTIYCnkob2xnYiCU/edit?usp=sharing"",""Jan 2026!$A:$AJ""),36,0)+vlookup(A15,importrange(""https://docs.google.com/spreadsheets/d/1arpJoJSlKHkJ-Zn4sJxqp3okt8tUTIYCn"&amp;"kob2xnYiCU/edit?usp=sharing"",""Feb 2026!$A:$AJ""),36,0)+vlookup(A15,importrange(""https://docs.google.com/spreadsheets/d/1arpJoJSlKHkJ-Zn4sJxqp3okt8tUTIYCnkob2xnYiCU/edit?usp=sharing"",""Mar 2026!$A:$AJ""),36,0)+vlookup(A15,importrange(""https://docs.goo"&amp;"gle.com/spreadsheets/d/1arpJoJSlKHkJ-Zn4sJxqp3okt8tUTIYCnkob2xnYiCU/edit?usp=sharing"",""Apr 2026!$A:$AJ""),36,0)+vlookup(A15,importrange(""https://docs.google.com/spreadsheets/d/1arpJoJSlKHkJ-Zn4sJxqp3okt8tUTIYCnkob2xnYiCU/edit?usp=sharing"",""May 2026!$"&amp;"A:$AJ""),36,0)+vlookup(A15,importrange(""https://docs.google.com/spreadsheets/d/1arpJoJSlKHkJ-Zn4sJxqp3okt8tUTIYCnkob2xnYiCU/edit?usp=sharing"",""June 2026!$A:$AJ""),36,0)+vlookup(A15,importrange(""https://docs.google.com/spreadsheets/d/1arpJoJSlKHkJ-Zn4s"&amp;"Jxqp3okt8tUTIYCnkob2xnYiCU/edit?usp=sharing"",""Current Month!$A:$AJ""),36,0)"),"#N/A")</f>
        <v>#N/A</v>
      </c>
      <c r="E15" s="9" t="str">
        <f>IFERROR(__xludf.DUMMYFUNCTION("vlookup(A15,importrange(""https://docs.google.com/spreadsheets/d/1arpJoJSlKHkJ-Zn4sJxqp3okt8tUTIYCnkob2xnYiCU/edit?usp=sharing"",""Jan 2026!$A:$AK""),37,0)+vlookup(A15,importrange(""https://docs.google.com/spreadsheets/d/1arpJoJSlKHkJ-Zn4sJxqp3okt8tUTIYCn"&amp;"kob2xnYiCU/edit?usp=sharing"",""Feb 2026!$A:$AK""),37,0)+vlookup(A15,importrange(""https://docs.google.com/spreadsheets/d/1arpJoJSlKHkJ-Zn4sJxqp3okt8tUTIYCnkob2xnYiCU/edit?usp=sharing"",""Mar 2026!$A:$AK""),37,0)+vlookup(A15,importrange(""https://docs.goo"&amp;"gle.com/spreadsheets/d/1arpJoJSlKHkJ-Zn4sJxqp3okt8tUTIYCnkob2xnYiCU/edit?usp=sharing"",""Apr 2026!$A:$AK""),37,0)+vlookup(A15,importrange(""https://docs.google.com/spreadsheets/d/1arpJoJSlKHkJ-Zn4sJxqp3okt8tUTIYCnkob2xnYiCU/edit?usp=sharing"",""May 2026!$"&amp;"A:$AK""),37,0)+vlookup(A15,importrange(""https://docs.google.com/spreadsheets/d/1arpJoJSlKHkJ-Zn4sJxqp3okt8tUTIYCnkob2xnYiCU/edit?usp=sharing"",""June 2026!$A:$AK""),37,0)+vlookup(A15,importrange(""https://docs.google.com/spreadsheets/d/1arpJoJSlKHkJ-Zn4s"&amp;"Jxqp3okt8tUTIYCnkob2xnYiCU/edit?usp=sharing"",""Current Month!$A:$AK""),37,0)"),"#N/A")</f>
        <v>#N/A</v>
      </c>
      <c r="F15" s="9" t="str">
        <f t="shared" si="1"/>
        <v>#N/A</v>
      </c>
      <c r="G15" s="9" t="str">
        <f>IFERROR(__xludf.DUMMYFUNCTION("vlookup(A15,importrange(""https://docs.google.com/spreadsheets/d/1arpJoJSlKHkJ-Zn4sJxqp3okt8tUTIYCnkob2xnYiCU/edit?usp=sharing"",""Jan 2026!$A:$AN""),40,0)+vlookup(A15,importrange(""https://docs.google.com/spreadsheets/d/1arpJoJSlKHkJ-Zn4sJxqp3okt8tUTIYCn"&amp;"kob2xnYiCU/edit?usp=sharing"",""Feb 2026!$A:$AN""),40,0)+vlookup(A15,importrange(""https://docs.google.com/spreadsheets/d/1arpJoJSlKHkJ-Zn4sJxqp3okt8tUTIYCnkob2xnYiCU/edit?usp=sharing"",""Mar 2026!$A:$AN""),40,0)+vlookup(A15,importrange(""https://docs.goo"&amp;"gle.com/spreadsheets/d/1arpJoJSlKHkJ-Zn4sJxqp3okt8tUTIYCnkob2xnYiCU/edit?usp=sharing"",""Apr 2026!$A:$AN""),40,0)+vlookup(A15,importrange(""https://docs.google.com/spreadsheets/d/1arpJoJSlKHkJ-Zn4sJxqp3okt8tUTIYCnkob2xnYiCU/edit?usp=sharing"",""May 2026!$"&amp;"A:$AN""),40,0)+vlookup(A15,importrange(""https://docs.google.com/spreadsheets/d/1arpJoJSlKHkJ-Zn4sJxqp3okt8tUTIYCnkob2xnYiCU/edit?usp=sharing"",""June 2026!$A:$AN""),40,0)+vlookup(A15,importrange(""https://docs.google.com/spreadsheets/d/1arpJoJSlKHkJ-Zn4s"&amp;"Jxqp3okt8tUTIYCnkob2xnYiCU/edit?usp=sharing"",""Current Month!$A:$AN""),40,0)"),"#N/A")</f>
        <v>#N/A</v>
      </c>
      <c r="H15" s="9">
        <v>12.0</v>
      </c>
      <c r="I15" s="10" t="str">
        <f t="shared" si="2"/>
        <v>#N/A</v>
      </c>
      <c r="J15" s="9" t="str">
        <f>IFERROR(__xludf.DUMMYFUNCTION("vlookup(A15,importrange(""https://docs.google.com/spreadsheets/d/1arpJoJSlKHkJ-Zn4sJxqp3okt8tUTIYCnkob2xnYiCU/edit?usp=sharing"",""Jan 2026!$A:$AP""),41,0)+vlookup(A15,importrange(""https://docs.google.com/spreadsheets/d/1arpJoJSlKHkJ-Zn4sJxqp3okt8tUTIYCn"&amp;"kob2xnYiCU/edit?usp=sharing"",""Feb 2026!$A:$AP""),41,0)+vlookup(A15,importrange(""https://docs.google.com/spreadsheets/d/1arpJoJSlKHkJ-Zn4sJxqp3okt8tUTIYCnkob2xnYiCU/edit?usp=sharing"",""Mar 2026!$A:$AP""),41,0)+vlookup(A15,importrange(""https://docs.goo"&amp;"gle.com/spreadsheets/d/1arpJoJSlKHkJ-Zn4sJxqp3okt8tUTIYCnkob2xnYiCU/edit?usp=sharing"",""Current Month!$A:$AP""),41,0)"),"#N/A")</f>
        <v>#N/A</v>
      </c>
      <c r="K15" s="11" t="str">
        <f>IFERROR(__xludf.DUMMYFUNCTION("J15/((vlookup(A15,importrange(""https://docs.google.com/spreadsheets/d/1arpJoJSlKHkJ-Zn4sJxqp3okt8tUTIYCnkob2xnYiCU/edit?usp=sharing"",""Jan 2026!$A:$AG""),33,0))+(vlookup(A15,importrange(""https://docs.google.com/spreadsheets/d/1arpJoJSlKHkJ-Zn4sJxqp3okt"&amp;"8tUTIYCnkob2xnYiCU/edit?usp=sharing"",""Feb 2026!$A:$AG""),33,0))+(vlookup(A15,importrange(""https://docs.google.com/spreadsheets/d/1arpJoJSlKHkJ-Zn4sJxqp3okt8tUTIYCnkob2xnYiCU/edit?usp=sharing"",""Mar 2026!$A:$AG""),33,0))+(vlookup(A15,importrange(""http"&amp;"s://docs.google.com/spreadsheets/d/1arpJoJSlKHkJ-Zn4sJxqp3okt8tUTIYCnkob2xnYiCU/edit?usp=sharing"",""Apr 2026!$A:$AG""),33,0))+(vlookup(A15,importrange(""https://docs.google.com/spreadsheets/d/1arpJoJSlKHkJ-Zn4sJxqp3okt8tUTIYCnkob2xnYiCU/edit?usp=sharing"&amp;""",""Current Month!$A:$AG""),33,0)))"),"#N/A")</f>
        <v>#N/A</v>
      </c>
      <c r="L15" s="9" t="str">
        <f>IFERROR(__xludf.DUMMYFUNCTION("vlookup(A15,importrange(""https://docs.google.com/spreadsheets/d/1arpJoJSlKHkJ-Zn4sJxqp3okt8tUTIYCnkob2xnYiCU/edit?usp=sharing"",""Current Month!$A:$AP""),42,0)+vlookup(A15,importrange(""https://docs.google.com/spreadsheets/d/1arpJoJSlKHkJ-Zn4sJxqp3okt8tU"&amp;"TIYCnkob2xnYiCU/edit?usp=sharing"",""Jan 2026!$A:$AP""),42,0)+vlookup(A15,importrange(""https://docs.google.com/spreadsheets/d/1arpJoJSlKHkJ-Zn4sJxqp3okt8tUTIYCnkob2xnYiCU/edit?usp=sharing"",""Feb 2026!$A:$AP""),42,0)+vlookup(A15,importrange(""https://doc"&amp;"s.google.com/spreadsheets/d/1arpJoJSlKHkJ-Zn4sJxqp3okt8tUTIYCnkob2xnYiCU/edit?usp=sharing"",""Mar 2026!$A:$AP""),42,0)+vlookup(A15,importrange(""https://docs.google.com/spreadsheets/d/1arpJoJSlKHkJ-Zn4sJxqp3okt8tUTIYCnkob2xnYiCU/edit?usp=sharing"",""Apr 2"&amp;"026!$A:$AP""),42,0)"),"#N/A")</f>
        <v>#N/A</v>
      </c>
    </row>
    <row r="16" ht="15.75" customHeight="1">
      <c r="A16" s="8" t="s">
        <v>25</v>
      </c>
      <c r="B16" s="9">
        <f>IFERROR(__xludf.DUMMYFUNCTION("vlookup(A16,importrange(""https://docs.google.com/spreadsheets/d/1arpJoJSlKHkJ-Zn4sJxqp3okt8tUTIYCnkob2xnYiCU/edit?usp=sharing"",""Jan 2026!$A:$AH""),34,0)+vlookup(A16,importrange(""https://docs.google.com/spreadsheets/d/1arpJoJSlKHkJ-Zn4sJxqp3okt8tUTIYCn"&amp;"kob2xnYiCU/edit?usp=sharing"",""Feb 2026!$A:$AH""),34,0)+vlookup(A16,importrange(""https://docs.google.com/spreadsheets/d/1arpJoJSlKHkJ-Zn4sJxqp3okt8tUTIYCnkob2xnYiCU/edit?usp=sharing"",""Mar 2026!$A:$AH""),34,0)+vlookup(A16,importrange(""https://docs.goo"&amp;"gle.com/spreadsheets/d/1arpJoJSlKHkJ-Zn4sJxqp3okt8tUTIYCnkob2xnYiCU/edit?usp=sharing"",""Apr 2026!$A:$AH""),34,0)+vlookup(A16,importrange(""https://docs.google.com/spreadsheets/d/1arpJoJSlKHkJ-Zn4sJxqp3okt8tUTIYCnkob2xnYiCU/edit?usp=sharing"",""May 2026!$"&amp;"A:$AH""),34,0)+vlookup(A16,importrange(""https://docs.google.com/spreadsheets/d/1arpJoJSlKHkJ-Zn4sJxqp3okt8tUTIYCnkob2xnYiCU/edit?usp=sharing"",""June 2026!$A:$AH""),34,0)+vlookup(A16,importrange(""https://docs.google.com/spreadsheets/d/1arpJoJSlKHkJ-Zn4s"&amp;"Jxqp3okt8tUTIYCnkob2xnYiCU/edit?usp=sharing"",""Current Month!$A:$AH""),34,0)"),12.0)</f>
        <v>12</v>
      </c>
      <c r="C16" s="9">
        <f>IFERROR(__xludf.DUMMYFUNCTION("vlookup(A16,importrange(""https://docs.google.com/spreadsheets/d/1arpJoJSlKHkJ-Zn4sJxqp3okt8tUTIYCnkob2xnYiCU/edit?usp=sharing"",""Jan 2026!$A:$AI""),35,0)+vlookup(A16,importrange(""https://docs.google.com/spreadsheets/d/1arpJoJSlKHkJ-Zn4sJxqp3okt8tUTIYCn"&amp;"kob2xnYiCU/edit?usp=sharing"",""Feb 2026!$A:$AI""),35,0)+vlookup(A16,importrange(""https://docs.google.com/spreadsheets/d/1arpJoJSlKHkJ-Zn4sJxqp3okt8tUTIYCnkob2xnYiCU/edit?usp=sharing"",""Mar 2026!$A:$AI""),35,0)+vlookup(A16,importrange(""https://docs.goo"&amp;"gle.com/spreadsheets/d/1arpJoJSlKHkJ-Zn4sJxqp3okt8tUTIYCnkob2xnYiCU/edit?usp=sharing"",""Apr 2026!$A:$AI""),35,0)+vlookup(A16,importrange(""https://docs.google.com/spreadsheets/d/1arpJoJSlKHkJ-Zn4sJxqp3okt8tUTIYCnkob2xnYiCU/edit?usp=sharing"",""May 2026!$"&amp;"A:$AI""),35,0)+vlookup(A16,importrange(""https://docs.google.com/spreadsheets/d/1arpJoJSlKHkJ-Zn4sJxqp3okt8tUTIYCnkob2xnYiCU/edit?usp=sharing"",""June 2026!$A:$AI""),35,0)+vlookup(A16,importrange(""https://docs.google.com/spreadsheets/d/1arpJoJSlKHkJ-Zn4s"&amp;"Jxqp3okt8tUTIYCnkob2xnYiCU/edit?usp=sharing"",""Current Month!$A:$AI""),35,0)"),4.0)</f>
        <v>4</v>
      </c>
      <c r="D16" s="9">
        <f>IFERROR(__xludf.DUMMYFUNCTION("vlookup(A16,importrange(""https://docs.google.com/spreadsheets/d/1arpJoJSlKHkJ-Zn4sJxqp3okt8tUTIYCnkob2xnYiCU/edit?usp=sharing"",""Jan 2026!$A:$AJ""),36,0)+vlookup(A16,importrange(""https://docs.google.com/spreadsheets/d/1arpJoJSlKHkJ-Zn4sJxqp3okt8tUTIYCn"&amp;"kob2xnYiCU/edit?usp=sharing"",""Feb 2026!$A:$AJ""),36,0)+vlookup(A16,importrange(""https://docs.google.com/spreadsheets/d/1arpJoJSlKHkJ-Zn4sJxqp3okt8tUTIYCnkob2xnYiCU/edit?usp=sharing"",""Mar 2026!$A:$AJ""),36,0)+vlookup(A16,importrange(""https://docs.goo"&amp;"gle.com/spreadsheets/d/1arpJoJSlKHkJ-Zn4sJxqp3okt8tUTIYCnkob2xnYiCU/edit?usp=sharing"",""Apr 2026!$A:$AJ""),36,0)+vlookup(A16,importrange(""https://docs.google.com/spreadsheets/d/1arpJoJSlKHkJ-Zn4sJxqp3okt8tUTIYCnkob2xnYiCU/edit?usp=sharing"",""May 2026!$"&amp;"A:$AJ""),36,0)+vlookup(A16,importrange(""https://docs.google.com/spreadsheets/d/1arpJoJSlKHkJ-Zn4sJxqp3okt8tUTIYCnkob2xnYiCU/edit?usp=sharing"",""June 2026!$A:$AJ""),36,0)+vlookup(A16,importrange(""https://docs.google.com/spreadsheets/d/1arpJoJSlKHkJ-Zn4s"&amp;"Jxqp3okt8tUTIYCnkob2xnYiCU/edit?usp=sharing"",""Current Month!$A:$AJ""),36,0)"),0.0)</f>
        <v>0</v>
      </c>
      <c r="E16" s="9">
        <f>IFERROR(__xludf.DUMMYFUNCTION("vlookup(A16,importrange(""https://docs.google.com/spreadsheets/d/1arpJoJSlKHkJ-Zn4sJxqp3okt8tUTIYCnkob2xnYiCU/edit?usp=sharing"",""Jan 2026!$A:$AK""),37,0)+vlookup(A16,importrange(""https://docs.google.com/spreadsheets/d/1arpJoJSlKHkJ-Zn4sJxqp3okt8tUTIYCn"&amp;"kob2xnYiCU/edit?usp=sharing"",""Feb 2026!$A:$AK""),37,0)+vlookup(A16,importrange(""https://docs.google.com/spreadsheets/d/1arpJoJSlKHkJ-Zn4sJxqp3okt8tUTIYCnkob2xnYiCU/edit?usp=sharing"",""Mar 2026!$A:$AK""),37,0)+vlookup(A16,importrange(""https://docs.goo"&amp;"gle.com/spreadsheets/d/1arpJoJSlKHkJ-Zn4sJxqp3okt8tUTIYCnkob2xnYiCU/edit?usp=sharing"",""Apr 2026!$A:$AK""),37,0)+vlookup(A16,importrange(""https://docs.google.com/spreadsheets/d/1arpJoJSlKHkJ-Zn4sJxqp3okt8tUTIYCnkob2xnYiCU/edit?usp=sharing"",""May 2026!$"&amp;"A:$AK""),37,0)+vlookup(A16,importrange(""https://docs.google.com/spreadsheets/d/1arpJoJSlKHkJ-Zn4sJxqp3okt8tUTIYCnkob2xnYiCU/edit?usp=sharing"",""June 2026!$A:$AK""),37,0)+vlookup(A16,importrange(""https://docs.google.com/spreadsheets/d/1arpJoJSlKHkJ-Zn4s"&amp;"Jxqp3okt8tUTIYCnkob2xnYiCU/edit?usp=sharing"",""Current Month!$A:$AK""),37,0)"),0.0)</f>
        <v>0</v>
      </c>
      <c r="F16" s="9">
        <f t="shared" si="1"/>
        <v>4</v>
      </c>
      <c r="G16" s="9">
        <f>IFERROR(__xludf.DUMMYFUNCTION("vlookup(A16,importrange(""https://docs.google.com/spreadsheets/d/1arpJoJSlKHkJ-Zn4sJxqp3okt8tUTIYCnkob2xnYiCU/edit?usp=sharing"",""Jan 2026!$A:$AN""),40,0)+vlookup(A16,importrange(""https://docs.google.com/spreadsheets/d/1arpJoJSlKHkJ-Zn4sJxqp3okt8tUTIYCn"&amp;"kob2xnYiCU/edit?usp=sharing"",""Feb 2026!$A:$AN""),40,0)+vlookup(A16,importrange(""https://docs.google.com/spreadsheets/d/1arpJoJSlKHkJ-Zn4sJxqp3okt8tUTIYCnkob2xnYiCU/edit?usp=sharing"",""Mar 2026!$A:$AN""),40,0)+vlookup(A16,importrange(""https://docs.goo"&amp;"gle.com/spreadsheets/d/1arpJoJSlKHkJ-Zn4sJxqp3okt8tUTIYCnkob2xnYiCU/edit?usp=sharing"",""Apr 2026!$A:$AN""),40,0)+vlookup(A16,importrange(""https://docs.google.com/spreadsheets/d/1arpJoJSlKHkJ-Zn4sJxqp3okt8tUTIYCnkob2xnYiCU/edit?usp=sharing"",""May 2026!$"&amp;"A:$AN""),40,0)+vlookup(A16,importrange(""https://docs.google.com/spreadsheets/d/1arpJoJSlKHkJ-Zn4sJxqp3okt8tUTIYCnkob2xnYiCU/edit?usp=sharing"",""June 2026!$A:$AN""),40,0)+vlookup(A16,importrange(""https://docs.google.com/spreadsheets/d/1arpJoJSlKHkJ-Zn4s"&amp;"Jxqp3okt8tUTIYCnkob2xnYiCU/edit?usp=sharing"",""Current Month!$A:$AN""),40,0)"),0.0)</f>
        <v>0</v>
      </c>
      <c r="H16" s="9">
        <v>12.0</v>
      </c>
      <c r="I16" s="10">
        <f t="shared" si="2"/>
        <v>5</v>
      </c>
      <c r="J16" s="9">
        <f>IFERROR(__xludf.DUMMYFUNCTION("vlookup(A16,importrange(""https://docs.google.com/spreadsheets/d/1arpJoJSlKHkJ-Zn4sJxqp3okt8tUTIYCnkob2xnYiCU/edit?usp=sharing"",""Jan 2026!$A:$AP""),41,0)+vlookup(A16,importrange(""https://docs.google.com/spreadsheets/d/1arpJoJSlKHkJ-Zn4sJxqp3okt8tUTIYCn"&amp;"kob2xnYiCU/edit?usp=sharing"",""Feb 2026!$A:$AP""),41,0)+vlookup(A16,importrange(""https://docs.google.com/spreadsheets/d/1arpJoJSlKHkJ-Zn4sJxqp3okt8tUTIYCnkob2xnYiCU/edit?usp=sharing"",""Mar 2026!$A:$AP""),41,0)+vlookup(A16,importrange(""https://docs.goo"&amp;"gle.com/spreadsheets/d/1arpJoJSlKHkJ-Zn4sJxqp3okt8tUTIYCnkob2xnYiCU/edit?usp=sharing"",""Current Month!$A:$AP""),41,0)"),10.0)</f>
        <v>10</v>
      </c>
      <c r="K16" s="11">
        <f>IFERROR(__xludf.DUMMYFUNCTION("J16/((vlookup(A16,importrange(""https://docs.google.com/spreadsheets/d/1arpJoJSlKHkJ-Zn4sJxqp3okt8tUTIYCnkob2xnYiCU/edit?usp=sharing"",""Jan 2026!$A:$AG""),33,0))+(vlookup(A16,importrange(""https://docs.google.com/spreadsheets/d/1arpJoJSlKHkJ-Zn4sJxqp3okt"&amp;"8tUTIYCnkob2xnYiCU/edit?usp=sharing"",""Feb 2026!$A:$AG""),33,0))+(vlookup(A16,importrange(""https://docs.google.com/spreadsheets/d/1arpJoJSlKHkJ-Zn4sJxqp3okt8tUTIYCnkob2xnYiCU/edit?usp=sharing"",""Mar 2026!$A:$AG""),33,0))+(vlookup(A16,importrange(""http"&amp;"s://docs.google.com/spreadsheets/d/1arpJoJSlKHkJ-Zn4sJxqp3okt8tUTIYCnkob2xnYiCU/edit?usp=sharing"",""Apr 2026!$A:$AG""),33,0))+(vlookup(A16,importrange(""https://docs.google.com/spreadsheets/d/1arpJoJSlKHkJ-Zn4sJxqp3okt8tUTIYCnkob2xnYiCU/edit?usp=sharing"&amp;""",""Current Month!$A:$AG""),33,0)))"),0.11764705882352941)</f>
        <v>0.1176470588</v>
      </c>
      <c r="L16" s="9">
        <f>IFERROR(__xludf.DUMMYFUNCTION("vlookup(A16,importrange(""https://docs.google.com/spreadsheets/d/1arpJoJSlKHkJ-Zn4sJxqp3okt8tUTIYCnkob2xnYiCU/edit?usp=sharing"",""Current Month!$A:$AP""),42,0)+vlookup(A16,importrange(""https://docs.google.com/spreadsheets/d/1arpJoJSlKHkJ-Zn4sJxqp3okt8tU"&amp;"TIYCnkob2xnYiCU/edit?usp=sharing"",""Jan 2026!$A:$AP""),42,0)+vlookup(A16,importrange(""https://docs.google.com/spreadsheets/d/1arpJoJSlKHkJ-Zn4sJxqp3okt8tUTIYCnkob2xnYiCU/edit?usp=sharing"",""Feb 2026!$A:$AP""),42,0)+vlookup(A16,importrange(""https://doc"&amp;"s.google.com/spreadsheets/d/1arpJoJSlKHkJ-Zn4sJxqp3okt8tUTIYCnkob2xnYiCU/edit?usp=sharing"",""Mar 2026!$A:$AP""),42,0)+vlookup(A16,importrange(""https://docs.google.com/spreadsheets/d/1arpJoJSlKHkJ-Zn4sJxqp3okt8tUTIYCnkob2xnYiCU/edit?usp=sharing"",""Apr 2"&amp;"026!$A:$AP""),42,0)"),12.0)</f>
        <v>12</v>
      </c>
    </row>
    <row r="17" ht="15.75" customHeight="1">
      <c r="A17" s="8" t="s">
        <v>26</v>
      </c>
      <c r="B17" s="9">
        <f>IFERROR(__xludf.DUMMYFUNCTION("vlookup(A17,importrange(""https://docs.google.com/spreadsheets/d/1arpJoJSlKHkJ-Zn4sJxqp3okt8tUTIYCnkob2xnYiCU/edit?usp=sharing"",""Jan 2026!$A:$AH""),34,0)+vlookup(A17,importrange(""https://docs.google.com/spreadsheets/d/1arpJoJSlKHkJ-Zn4sJxqp3okt8tUTIYCn"&amp;"kob2xnYiCU/edit?usp=sharing"",""Feb 2026!$A:$AH""),34,0)+vlookup(A17,importrange(""https://docs.google.com/spreadsheets/d/1arpJoJSlKHkJ-Zn4sJxqp3okt8tUTIYCnkob2xnYiCU/edit?usp=sharing"",""Mar 2026!$A:$AH""),34,0)+vlookup(A17,importrange(""https://docs.goo"&amp;"gle.com/spreadsheets/d/1arpJoJSlKHkJ-Zn4sJxqp3okt8tUTIYCnkob2xnYiCU/edit?usp=sharing"",""Apr 2026!$A:$AH""),34,0)+vlookup(A17,importrange(""https://docs.google.com/spreadsheets/d/1arpJoJSlKHkJ-Zn4sJxqp3okt8tUTIYCnkob2xnYiCU/edit?usp=sharing"",""May 2026!$"&amp;"A:$AH""),34,0)+vlookup(A17,importrange(""https://docs.google.com/spreadsheets/d/1arpJoJSlKHkJ-Zn4sJxqp3okt8tUTIYCnkob2xnYiCU/edit?usp=sharing"",""June 2026!$A:$AH""),34,0)+vlookup(A17,importrange(""https://docs.google.com/spreadsheets/d/1arpJoJSlKHkJ-Zn4s"&amp;"Jxqp3okt8tUTIYCnkob2xnYiCU/edit?usp=sharing"",""Current Month!$A:$AH""),34,0)"),6.0)</f>
        <v>6</v>
      </c>
      <c r="C17" s="9">
        <f>IFERROR(__xludf.DUMMYFUNCTION("vlookup(A17,importrange(""https://docs.google.com/spreadsheets/d/1arpJoJSlKHkJ-Zn4sJxqp3okt8tUTIYCnkob2xnYiCU/edit?usp=sharing"",""Jan 2026!$A:$AI""),35,0)+vlookup(A17,importrange(""https://docs.google.com/spreadsheets/d/1arpJoJSlKHkJ-Zn4sJxqp3okt8tUTIYCn"&amp;"kob2xnYiCU/edit?usp=sharing"",""Feb 2026!$A:$AI""),35,0)+vlookup(A17,importrange(""https://docs.google.com/spreadsheets/d/1arpJoJSlKHkJ-Zn4sJxqp3okt8tUTIYCnkob2xnYiCU/edit?usp=sharing"",""Mar 2026!$A:$AI""),35,0)+vlookup(A17,importrange(""https://docs.goo"&amp;"gle.com/spreadsheets/d/1arpJoJSlKHkJ-Zn4sJxqp3okt8tUTIYCnkob2xnYiCU/edit?usp=sharing"",""Apr 2026!$A:$AI""),35,0)+vlookup(A17,importrange(""https://docs.google.com/spreadsheets/d/1arpJoJSlKHkJ-Zn4sJxqp3okt8tUTIYCnkob2xnYiCU/edit?usp=sharing"",""May 2026!$"&amp;"A:$AI""),35,0)+vlookup(A17,importrange(""https://docs.google.com/spreadsheets/d/1arpJoJSlKHkJ-Zn4sJxqp3okt8tUTIYCnkob2xnYiCU/edit?usp=sharing"",""June 2026!$A:$AI""),35,0)+vlookup(A17,importrange(""https://docs.google.com/spreadsheets/d/1arpJoJSlKHkJ-Zn4s"&amp;"Jxqp3okt8tUTIYCnkob2xnYiCU/edit?usp=sharing"",""Current Month!$A:$AI""),35,0)"),6.5)</f>
        <v>6.5</v>
      </c>
      <c r="D17" s="9">
        <f>IFERROR(__xludf.DUMMYFUNCTION("vlookup(A17,importrange(""https://docs.google.com/spreadsheets/d/1arpJoJSlKHkJ-Zn4sJxqp3okt8tUTIYCnkob2xnYiCU/edit?usp=sharing"",""Jan 2026!$A:$AJ""),36,0)+vlookup(A17,importrange(""https://docs.google.com/spreadsheets/d/1arpJoJSlKHkJ-Zn4sJxqp3okt8tUTIYCn"&amp;"kob2xnYiCU/edit?usp=sharing"",""Feb 2026!$A:$AJ""),36,0)+vlookup(A17,importrange(""https://docs.google.com/spreadsheets/d/1arpJoJSlKHkJ-Zn4sJxqp3okt8tUTIYCnkob2xnYiCU/edit?usp=sharing"",""Mar 2026!$A:$AJ""),36,0)+vlookup(A17,importrange(""https://docs.goo"&amp;"gle.com/spreadsheets/d/1arpJoJSlKHkJ-Zn4sJxqp3okt8tUTIYCnkob2xnYiCU/edit?usp=sharing"",""Apr 2026!$A:$AJ""),36,0)+vlookup(A17,importrange(""https://docs.google.com/spreadsheets/d/1arpJoJSlKHkJ-Zn4sJxqp3okt8tUTIYCnkob2xnYiCU/edit?usp=sharing"",""May 2026!$"&amp;"A:$AJ""),36,0)+vlookup(A17,importrange(""https://docs.google.com/spreadsheets/d/1arpJoJSlKHkJ-Zn4sJxqp3okt8tUTIYCnkob2xnYiCU/edit?usp=sharing"",""June 2026!$A:$AJ""),36,0)+vlookup(A17,importrange(""https://docs.google.com/spreadsheets/d/1arpJoJSlKHkJ-Zn4s"&amp;"Jxqp3okt8tUTIYCnkob2xnYiCU/edit?usp=sharing"",""Current Month!$A:$AJ""),36,0)"),0.0)</f>
        <v>0</v>
      </c>
      <c r="E17" s="9">
        <f>IFERROR(__xludf.DUMMYFUNCTION("vlookup(A17,importrange(""https://docs.google.com/spreadsheets/d/1arpJoJSlKHkJ-Zn4sJxqp3okt8tUTIYCnkob2xnYiCU/edit?usp=sharing"",""Jan 2026!$A:$AK""),37,0)+vlookup(A17,importrange(""https://docs.google.com/spreadsheets/d/1arpJoJSlKHkJ-Zn4sJxqp3okt8tUTIYCn"&amp;"kob2xnYiCU/edit?usp=sharing"",""Feb 2026!$A:$AK""),37,0)+vlookup(A17,importrange(""https://docs.google.com/spreadsheets/d/1arpJoJSlKHkJ-Zn4sJxqp3okt8tUTIYCnkob2xnYiCU/edit?usp=sharing"",""Mar 2026!$A:$AK""),37,0)+vlookup(A17,importrange(""https://docs.goo"&amp;"gle.com/spreadsheets/d/1arpJoJSlKHkJ-Zn4sJxqp3okt8tUTIYCnkob2xnYiCU/edit?usp=sharing"",""Apr 2026!$A:$AK""),37,0)+vlookup(A17,importrange(""https://docs.google.com/spreadsheets/d/1arpJoJSlKHkJ-Zn4sJxqp3okt8tUTIYCnkob2xnYiCU/edit?usp=sharing"",""May 2026!$"&amp;"A:$AK""),37,0)+vlookup(A17,importrange(""https://docs.google.com/spreadsheets/d/1arpJoJSlKHkJ-Zn4sJxqp3okt8tUTIYCnkob2xnYiCU/edit?usp=sharing"",""June 2026!$A:$AK""),37,0)+vlookup(A17,importrange(""https://docs.google.com/spreadsheets/d/1arpJoJSlKHkJ-Zn4s"&amp;"Jxqp3okt8tUTIYCnkob2xnYiCU/edit?usp=sharing"",""Current Month!$A:$AK""),37,0)"),0.0)</f>
        <v>0</v>
      </c>
      <c r="F17" s="9">
        <f t="shared" si="1"/>
        <v>3</v>
      </c>
      <c r="G17" s="9">
        <f>IFERROR(__xludf.DUMMYFUNCTION("vlookup(A17,importrange(""https://docs.google.com/spreadsheets/d/1arpJoJSlKHkJ-Zn4sJxqp3okt8tUTIYCnkob2xnYiCU/edit?usp=sharing"",""Jan 2026!$A:$AN""),40,0)+vlookup(A17,importrange(""https://docs.google.com/spreadsheets/d/1arpJoJSlKHkJ-Zn4sJxqp3okt8tUTIYCn"&amp;"kob2xnYiCU/edit?usp=sharing"",""Feb 2026!$A:$AN""),40,0)+vlookup(A17,importrange(""https://docs.google.com/spreadsheets/d/1arpJoJSlKHkJ-Zn4sJxqp3okt8tUTIYCnkob2xnYiCU/edit?usp=sharing"",""Mar 2026!$A:$AN""),40,0)+vlookup(A17,importrange(""https://docs.goo"&amp;"gle.com/spreadsheets/d/1arpJoJSlKHkJ-Zn4sJxqp3okt8tUTIYCnkob2xnYiCU/edit?usp=sharing"",""Apr 2026!$A:$AN""),40,0)+vlookup(A17,importrange(""https://docs.google.com/spreadsheets/d/1arpJoJSlKHkJ-Zn4sJxqp3okt8tUTIYCnkob2xnYiCU/edit?usp=sharing"",""May 2026!$"&amp;"A:$AN""),40,0)+vlookup(A17,importrange(""https://docs.google.com/spreadsheets/d/1arpJoJSlKHkJ-Zn4sJxqp3okt8tUTIYCnkob2xnYiCU/edit?usp=sharing"",""June 2026!$A:$AN""),40,0)+vlookup(A17,importrange(""https://docs.google.com/spreadsheets/d/1arpJoJSlKHkJ-Zn4s"&amp;"Jxqp3okt8tUTIYCnkob2xnYiCU/edit?usp=sharing"",""Current Month!$A:$AN""),40,0)"),1.0)</f>
        <v>1</v>
      </c>
      <c r="H17" s="9">
        <v>12.0</v>
      </c>
      <c r="I17" s="10">
        <f t="shared" si="2"/>
        <v>8.5</v>
      </c>
      <c r="J17" s="9">
        <f>IFERROR(__xludf.DUMMYFUNCTION("vlookup(A17,importrange(""https://docs.google.com/spreadsheets/d/1arpJoJSlKHkJ-Zn4sJxqp3okt8tUTIYCnkob2xnYiCU/edit?usp=sharing"",""Jan 2026!$A:$AP""),41,0)+vlookup(A17,importrange(""https://docs.google.com/spreadsheets/d/1arpJoJSlKHkJ-Zn4sJxqp3okt8tUTIYCn"&amp;"kob2xnYiCU/edit?usp=sharing"",""Feb 2026!$A:$AP""),41,0)+vlookup(A17,importrange(""https://docs.google.com/spreadsheets/d/1arpJoJSlKHkJ-Zn4sJxqp3okt8tUTIYCnkob2xnYiCU/edit?usp=sharing"",""Mar 2026!$A:$AP""),41,0)+vlookup(A17,importrange(""https://docs.goo"&amp;"gle.com/spreadsheets/d/1arpJoJSlKHkJ-Zn4sJxqp3okt8tUTIYCnkob2xnYiCU/edit?usp=sharing"",""Current Month!$A:$AP""),41,0)"),6.0)</f>
        <v>6</v>
      </c>
      <c r="K17" s="11">
        <f>IFERROR(__xludf.DUMMYFUNCTION("J17/((vlookup(A17,importrange(""https://docs.google.com/spreadsheets/d/1arpJoJSlKHkJ-Zn4sJxqp3okt8tUTIYCnkob2xnYiCU/edit?usp=sharing"",""Jan 2026!$A:$AG""),33,0))+(vlookup(A17,importrange(""https://docs.google.com/spreadsheets/d/1arpJoJSlKHkJ-Zn4sJxqp3okt"&amp;"8tUTIYCnkob2xnYiCU/edit?usp=sharing"",""Feb 2026!$A:$AG""),33,0))+(vlookup(A17,importrange(""https://docs.google.com/spreadsheets/d/1arpJoJSlKHkJ-Zn4sJxqp3okt8tUTIYCnkob2xnYiCU/edit?usp=sharing"",""Mar 2026!$A:$AG""),33,0))+(vlookup(A17,importrange(""http"&amp;"s://docs.google.com/spreadsheets/d/1arpJoJSlKHkJ-Zn4sJxqp3okt8tUTIYCnkob2xnYiCU/edit?usp=sharing"",""Apr 2026!$A:$AG""),33,0))+(vlookup(A17,importrange(""https://docs.google.com/spreadsheets/d/1arpJoJSlKHkJ-Zn4sJxqp3okt8tUTIYCnkob2xnYiCU/edit?usp=sharing"&amp;""",""Current Month!$A:$AG""),33,0)))"),0.0851063829787234)</f>
        <v>0.08510638298</v>
      </c>
      <c r="L17" s="9">
        <f>IFERROR(__xludf.DUMMYFUNCTION("vlookup(A17,importrange(""https://docs.google.com/spreadsheets/d/1arpJoJSlKHkJ-Zn4sJxqp3okt8tUTIYCnkob2xnYiCU/edit?usp=sharing"",""Current Month!$A:$AP""),42,0)+vlookup(A17,importrange(""https://docs.google.com/spreadsheets/d/1arpJoJSlKHkJ-Zn4sJxqp3okt8tU"&amp;"TIYCnkob2xnYiCU/edit?usp=sharing"",""Jan 2026!$A:$AP""),42,0)+vlookup(A17,importrange(""https://docs.google.com/spreadsheets/d/1arpJoJSlKHkJ-Zn4sJxqp3okt8tUTIYCnkob2xnYiCU/edit?usp=sharing"",""Feb 2026!$A:$AP""),42,0)+vlookup(A17,importrange(""https://doc"&amp;"s.google.com/spreadsheets/d/1arpJoJSlKHkJ-Zn4sJxqp3okt8tUTIYCnkob2xnYiCU/edit?usp=sharing"",""Mar 2026!$A:$AP""),42,0)+vlookup(A17,importrange(""https://docs.google.com/spreadsheets/d/1arpJoJSlKHkJ-Zn4sJxqp3okt8tUTIYCnkob2xnYiCU/edit?usp=sharing"",""Apr 2"&amp;"026!$A:$AP""),42,0)"),3.0)</f>
        <v>3</v>
      </c>
    </row>
    <row r="18" ht="15.75" customHeight="1">
      <c r="A18" s="8" t="s">
        <v>27</v>
      </c>
      <c r="B18" s="9">
        <f>IFERROR(__xludf.DUMMYFUNCTION("vlookup(A18,importrange(""https://docs.google.com/spreadsheets/d/1arpJoJSlKHkJ-Zn4sJxqp3okt8tUTIYCnkob2xnYiCU/edit?usp=sharing"",""Jan 2026!$A:$AH""),34,0)+vlookup(A18,importrange(""https://docs.google.com/spreadsheets/d/1arpJoJSlKHkJ-Zn4sJxqp3okt8tUTIYCn"&amp;"kob2xnYiCU/edit?usp=sharing"",""Feb 2026!$A:$AH""),34,0)+vlookup(A18,importrange(""https://docs.google.com/spreadsheets/d/1arpJoJSlKHkJ-Zn4sJxqp3okt8tUTIYCnkob2xnYiCU/edit?usp=sharing"",""Mar 2026!$A:$AH""),34,0)+vlookup(A18,importrange(""https://docs.goo"&amp;"gle.com/spreadsheets/d/1arpJoJSlKHkJ-Zn4sJxqp3okt8tUTIYCnkob2xnYiCU/edit?usp=sharing"",""Apr 2026!$A:$AH""),34,0)+vlookup(A18,importrange(""https://docs.google.com/spreadsheets/d/1arpJoJSlKHkJ-Zn4sJxqp3okt8tUTIYCnkob2xnYiCU/edit?usp=sharing"",""May 2026!$"&amp;"A:$AH""),34,0)+vlookup(A18,importrange(""https://docs.google.com/spreadsheets/d/1arpJoJSlKHkJ-Zn4sJxqp3okt8tUTIYCnkob2xnYiCU/edit?usp=sharing"",""June 2026!$A:$AH""),34,0)+vlookup(A18,importrange(""https://docs.google.com/spreadsheets/d/1arpJoJSlKHkJ-Zn4s"&amp;"Jxqp3okt8tUTIYCnkob2xnYiCU/edit?usp=sharing"",""Current Month!$A:$AH""),34,0)"),2.0)</f>
        <v>2</v>
      </c>
      <c r="C18" s="9">
        <f>IFERROR(__xludf.DUMMYFUNCTION("vlookup(A18,importrange(""https://docs.google.com/spreadsheets/d/1arpJoJSlKHkJ-Zn4sJxqp3okt8tUTIYCnkob2xnYiCU/edit?usp=sharing"",""Jan 2026!$A:$AI""),35,0)+vlookup(A18,importrange(""https://docs.google.com/spreadsheets/d/1arpJoJSlKHkJ-Zn4sJxqp3okt8tUTIYCn"&amp;"kob2xnYiCU/edit?usp=sharing"",""Feb 2026!$A:$AI""),35,0)+vlookup(A18,importrange(""https://docs.google.com/spreadsheets/d/1arpJoJSlKHkJ-Zn4sJxqp3okt8tUTIYCnkob2xnYiCU/edit?usp=sharing"",""Mar 2026!$A:$AI""),35,0)+vlookup(A18,importrange(""https://docs.goo"&amp;"gle.com/spreadsheets/d/1arpJoJSlKHkJ-Zn4sJxqp3okt8tUTIYCnkob2xnYiCU/edit?usp=sharing"",""Apr 2026!$A:$AI""),35,0)+vlookup(A18,importrange(""https://docs.google.com/spreadsheets/d/1arpJoJSlKHkJ-Zn4sJxqp3okt8tUTIYCnkob2xnYiCU/edit?usp=sharing"",""May 2026!$"&amp;"A:$AI""),35,0)+vlookup(A18,importrange(""https://docs.google.com/spreadsheets/d/1arpJoJSlKHkJ-Zn4sJxqp3okt8tUTIYCnkob2xnYiCU/edit?usp=sharing"",""June 2026!$A:$AI""),35,0)+vlookup(A18,importrange(""https://docs.google.com/spreadsheets/d/1arpJoJSlKHkJ-Zn4s"&amp;"Jxqp3okt8tUTIYCnkob2xnYiCU/edit?usp=sharing"",""Current Month!$A:$AI""),35,0)"),4.5)</f>
        <v>4.5</v>
      </c>
      <c r="D18" s="9">
        <f>IFERROR(__xludf.DUMMYFUNCTION("vlookup(A18,importrange(""https://docs.google.com/spreadsheets/d/1arpJoJSlKHkJ-Zn4sJxqp3okt8tUTIYCnkob2xnYiCU/edit?usp=sharing"",""Jan 2026!$A:$AJ""),36,0)+vlookup(A18,importrange(""https://docs.google.com/spreadsheets/d/1arpJoJSlKHkJ-Zn4sJxqp3okt8tUTIYCn"&amp;"kob2xnYiCU/edit?usp=sharing"",""Feb 2026!$A:$AJ""),36,0)+vlookup(A18,importrange(""https://docs.google.com/spreadsheets/d/1arpJoJSlKHkJ-Zn4sJxqp3okt8tUTIYCnkob2xnYiCU/edit?usp=sharing"",""Mar 2026!$A:$AJ""),36,0)+vlookup(A18,importrange(""https://docs.goo"&amp;"gle.com/spreadsheets/d/1arpJoJSlKHkJ-Zn4sJxqp3okt8tUTIYCnkob2xnYiCU/edit?usp=sharing"",""Apr 2026!$A:$AJ""),36,0)+vlookup(A18,importrange(""https://docs.google.com/spreadsheets/d/1arpJoJSlKHkJ-Zn4sJxqp3okt8tUTIYCnkob2xnYiCU/edit?usp=sharing"",""May 2026!$"&amp;"A:$AJ""),36,0)+vlookup(A18,importrange(""https://docs.google.com/spreadsheets/d/1arpJoJSlKHkJ-Zn4sJxqp3okt8tUTIYCnkob2xnYiCU/edit?usp=sharing"",""June 2026!$A:$AJ""),36,0)+vlookup(A18,importrange(""https://docs.google.com/spreadsheets/d/1arpJoJSlKHkJ-Zn4s"&amp;"Jxqp3okt8tUTIYCnkob2xnYiCU/edit?usp=sharing"",""Current Month!$A:$AJ""),36,0)"),2.0)</f>
        <v>2</v>
      </c>
      <c r="E18" s="9">
        <f>IFERROR(__xludf.DUMMYFUNCTION("vlookup(A18,importrange(""https://docs.google.com/spreadsheets/d/1arpJoJSlKHkJ-Zn4sJxqp3okt8tUTIYCnkob2xnYiCU/edit?usp=sharing"",""Jan 2026!$A:$AK""),37,0)+vlookup(A18,importrange(""https://docs.google.com/spreadsheets/d/1arpJoJSlKHkJ-Zn4sJxqp3okt8tUTIYCn"&amp;"kob2xnYiCU/edit?usp=sharing"",""Feb 2026!$A:$AK""),37,0)+vlookup(A18,importrange(""https://docs.google.com/spreadsheets/d/1arpJoJSlKHkJ-Zn4sJxqp3okt8tUTIYCnkob2xnYiCU/edit?usp=sharing"",""Mar 2026!$A:$AK""),37,0)+vlookup(A18,importrange(""https://docs.goo"&amp;"gle.com/spreadsheets/d/1arpJoJSlKHkJ-Zn4sJxqp3okt8tUTIYCnkob2xnYiCU/edit?usp=sharing"",""Apr 2026!$A:$AK""),37,0)+vlookup(A18,importrange(""https://docs.google.com/spreadsheets/d/1arpJoJSlKHkJ-Zn4sJxqp3okt8tUTIYCnkob2xnYiCU/edit?usp=sharing"",""May 2026!$"&amp;"A:$AK""),37,0)+vlookup(A18,importrange(""https://docs.google.com/spreadsheets/d/1arpJoJSlKHkJ-Zn4sJxqp3okt8tUTIYCnkob2xnYiCU/edit?usp=sharing"",""June 2026!$A:$AK""),37,0)+vlookup(A18,importrange(""https://docs.google.com/spreadsheets/d/1arpJoJSlKHkJ-Zn4s"&amp;"Jxqp3okt8tUTIYCnkob2xnYiCU/edit?usp=sharing"",""Current Month!$A:$AK""),37,0)"),0.0)</f>
        <v>0</v>
      </c>
      <c r="F18" s="9">
        <f t="shared" si="1"/>
        <v>4</v>
      </c>
      <c r="G18" s="9">
        <f>IFERROR(__xludf.DUMMYFUNCTION("vlookup(A18,importrange(""https://docs.google.com/spreadsheets/d/1arpJoJSlKHkJ-Zn4sJxqp3okt8tUTIYCnkob2xnYiCU/edit?usp=sharing"",""Jan 2026!$A:$AN""),40,0)+vlookup(A18,importrange(""https://docs.google.com/spreadsheets/d/1arpJoJSlKHkJ-Zn4sJxqp3okt8tUTIYCn"&amp;"kob2xnYiCU/edit?usp=sharing"",""Feb 2026!$A:$AN""),40,0)+vlookup(A18,importrange(""https://docs.google.com/spreadsheets/d/1arpJoJSlKHkJ-Zn4sJxqp3okt8tUTIYCnkob2xnYiCU/edit?usp=sharing"",""Mar 2026!$A:$AN""),40,0)+vlookup(A18,importrange(""https://docs.goo"&amp;"gle.com/spreadsheets/d/1arpJoJSlKHkJ-Zn4sJxqp3okt8tUTIYCnkob2xnYiCU/edit?usp=sharing"",""Apr 2026!$A:$AN""),40,0)+vlookup(A18,importrange(""https://docs.google.com/spreadsheets/d/1arpJoJSlKHkJ-Zn4sJxqp3okt8tUTIYCnkob2xnYiCU/edit?usp=sharing"",""May 2026!$"&amp;"A:$AN""),40,0)+vlookup(A18,importrange(""https://docs.google.com/spreadsheets/d/1arpJoJSlKHkJ-Zn4sJxqp3okt8tUTIYCnkob2xnYiCU/edit?usp=sharing"",""June 2026!$A:$AN""),40,0)+vlookup(A18,importrange(""https://docs.google.com/spreadsheets/d/1arpJoJSlKHkJ-Zn4s"&amp;"Jxqp3okt8tUTIYCnkob2xnYiCU/edit?usp=sharing"",""Current Month!$A:$AN""),40,0)"),0.0)</f>
        <v>0</v>
      </c>
      <c r="H18" s="9">
        <v>12.0</v>
      </c>
      <c r="I18" s="10">
        <f t="shared" si="2"/>
        <v>14.5</v>
      </c>
      <c r="J18" s="9">
        <f>IFERROR(__xludf.DUMMYFUNCTION("vlookup(A18,importrange(""https://docs.google.com/spreadsheets/d/1arpJoJSlKHkJ-Zn4sJxqp3okt8tUTIYCnkob2xnYiCU/edit?usp=sharing"",""Jan 2026!$A:$AP""),41,0)+vlookup(A18,importrange(""https://docs.google.com/spreadsheets/d/1arpJoJSlKHkJ-Zn4sJxqp3okt8tUTIYCn"&amp;"kob2xnYiCU/edit?usp=sharing"",""Feb 2026!$A:$AP""),41,0)+vlookup(A18,importrange(""https://docs.google.com/spreadsheets/d/1arpJoJSlKHkJ-Zn4sJxqp3okt8tUTIYCnkob2xnYiCU/edit?usp=sharing"",""Mar 2026!$A:$AP""),41,0)+vlookup(A18,importrange(""https://docs.goo"&amp;"gle.com/spreadsheets/d/1arpJoJSlKHkJ-Zn4sJxqp3okt8tUTIYCnkob2xnYiCU/edit?usp=sharing"",""Current Month!$A:$AP""),41,0)"),17.0)</f>
        <v>17</v>
      </c>
      <c r="K18" s="11">
        <f>IFERROR(__xludf.DUMMYFUNCTION("J18/((vlookup(A18,importrange(""https://docs.google.com/spreadsheets/d/1arpJoJSlKHkJ-Zn4sJxqp3okt8tUTIYCnkob2xnYiCU/edit?usp=sharing"",""Jan 2026!$A:$AG""),33,0))+(vlookup(A18,importrange(""https://docs.google.com/spreadsheets/d/1arpJoJSlKHkJ-Zn4sJxqp3okt"&amp;"8tUTIYCnkob2xnYiCU/edit?usp=sharing"",""Feb 2026!$A:$AG""),33,0))+(vlookup(A18,importrange(""https://docs.google.com/spreadsheets/d/1arpJoJSlKHkJ-Zn4sJxqp3okt8tUTIYCnkob2xnYiCU/edit?usp=sharing"",""Mar 2026!$A:$AG""),33,0))+(vlookup(A18,importrange(""http"&amp;"s://docs.google.com/spreadsheets/d/1arpJoJSlKHkJ-Zn4sJxqp3okt8tUTIYCnkob2xnYiCU/edit?usp=sharing"",""Apr 2026!$A:$AG""),33,0))+(vlookup(A18,importrange(""https://docs.google.com/spreadsheets/d/1arpJoJSlKHkJ-Zn4sJxqp3okt8tUTIYCnkob2xnYiCU/edit?usp=sharing"&amp;""",""Current Month!$A:$AG""),33,0)))"),0.3434343434343434)</f>
        <v>0.3434343434</v>
      </c>
      <c r="L18" s="9">
        <f>IFERROR(__xludf.DUMMYFUNCTION("vlookup(A18,importrange(""https://docs.google.com/spreadsheets/d/1arpJoJSlKHkJ-Zn4sJxqp3okt8tUTIYCnkob2xnYiCU/edit?usp=sharing"",""Current Month!$A:$AP""),42,0)+vlookup(A18,importrange(""https://docs.google.com/spreadsheets/d/1arpJoJSlKHkJ-Zn4sJxqp3okt8tU"&amp;"TIYCnkob2xnYiCU/edit?usp=sharing"",""Jan 2026!$A:$AP""),42,0)+vlookup(A18,importrange(""https://docs.google.com/spreadsheets/d/1arpJoJSlKHkJ-Zn4sJxqp3okt8tUTIYCnkob2xnYiCU/edit?usp=sharing"",""Feb 2026!$A:$AP""),42,0)+vlookup(A18,importrange(""https://doc"&amp;"s.google.com/spreadsheets/d/1arpJoJSlKHkJ-Zn4sJxqp3okt8tUTIYCnkob2xnYiCU/edit?usp=sharing"",""Mar 2026!$A:$AP""),42,0)+vlookup(A18,importrange(""https://docs.google.com/spreadsheets/d/1arpJoJSlKHkJ-Zn4sJxqp3okt8tUTIYCnkob2xnYiCU/edit?usp=sharing"",""Apr 2"&amp;"026!$A:$AP""),42,0)"),5.0)</f>
        <v>5</v>
      </c>
    </row>
    <row r="19" ht="15.75" customHeight="1">
      <c r="A19" s="8" t="s">
        <v>28</v>
      </c>
      <c r="B19" s="9">
        <f>IFERROR(__xludf.DUMMYFUNCTION("vlookup(A19,importrange(""https://docs.google.com/spreadsheets/d/1arpJoJSlKHkJ-Zn4sJxqp3okt8tUTIYCnkob2xnYiCU/edit?usp=sharing"",""Jan 2026!$A:$AH""),34,0)+vlookup(A19,importrange(""https://docs.google.com/spreadsheets/d/1arpJoJSlKHkJ-Zn4sJxqp3okt8tUTIYCn"&amp;"kob2xnYiCU/edit?usp=sharing"",""Feb 2026!$A:$AH""),34,0)+vlookup(A19,importrange(""https://docs.google.com/spreadsheets/d/1arpJoJSlKHkJ-Zn4sJxqp3okt8tUTIYCnkob2xnYiCU/edit?usp=sharing"",""Mar 2026!$A:$AH""),34,0)+vlookup(A19,importrange(""https://docs.goo"&amp;"gle.com/spreadsheets/d/1arpJoJSlKHkJ-Zn4sJxqp3okt8tUTIYCnkob2xnYiCU/edit?usp=sharing"",""Apr 2026!$A:$AH""),34,0)+vlookup(A19,importrange(""https://docs.google.com/spreadsheets/d/1arpJoJSlKHkJ-Zn4sJxqp3okt8tUTIYCnkob2xnYiCU/edit?usp=sharing"",""May 2026!$"&amp;"A:$AH""),34,0)+vlookup(A19,importrange(""https://docs.google.com/spreadsheets/d/1arpJoJSlKHkJ-Zn4sJxqp3okt8tUTIYCnkob2xnYiCU/edit?usp=sharing"",""June 2026!$A:$AH""),34,0)+vlookup(A19,importrange(""https://docs.google.com/spreadsheets/d/1arpJoJSlKHkJ-Zn4s"&amp;"Jxqp3okt8tUTIYCnkob2xnYiCU/edit?usp=sharing"",""Current Month!$A:$AH""),34,0)"),7.0)</f>
        <v>7</v>
      </c>
      <c r="C19" s="9">
        <f>IFERROR(__xludf.DUMMYFUNCTION("vlookup(A19,importrange(""https://docs.google.com/spreadsheets/d/1arpJoJSlKHkJ-Zn4sJxqp3okt8tUTIYCnkob2xnYiCU/edit?usp=sharing"",""Jan 2026!$A:$AI""),35,0)+vlookup(A19,importrange(""https://docs.google.com/spreadsheets/d/1arpJoJSlKHkJ-Zn4sJxqp3okt8tUTIYCn"&amp;"kob2xnYiCU/edit?usp=sharing"",""Feb 2026!$A:$AI""),35,0)+vlookup(A19,importrange(""https://docs.google.com/spreadsheets/d/1arpJoJSlKHkJ-Zn4sJxqp3okt8tUTIYCnkob2xnYiCU/edit?usp=sharing"",""Mar 2026!$A:$AI""),35,0)+vlookup(A19,importrange(""https://docs.goo"&amp;"gle.com/spreadsheets/d/1arpJoJSlKHkJ-Zn4sJxqp3okt8tUTIYCnkob2xnYiCU/edit?usp=sharing"",""Apr 2026!$A:$AI""),35,0)+vlookup(A19,importrange(""https://docs.google.com/spreadsheets/d/1arpJoJSlKHkJ-Zn4sJxqp3okt8tUTIYCnkob2xnYiCU/edit?usp=sharing"",""May 2026!$"&amp;"A:$AI""),35,0)+vlookup(A19,importrange(""https://docs.google.com/spreadsheets/d/1arpJoJSlKHkJ-Zn4sJxqp3okt8tUTIYCnkob2xnYiCU/edit?usp=sharing"",""June 2026!$A:$AI""),35,0)+vlookup(A19,importrange(""https://docs.google.com/spreadsheets/d/1arpJoJSlKHkJ-Zn4s"&amp;"Jxqp3okt8tUTIYCnkob2xnYiCU/edit?usp=sharing"",""Current Month!$A:$AI""),35,0)"),3.5)</f>
        <v>3.5</v>
      </c>
      <c r="D19" s="9">
        <f>IFERROR(__xludf.DUMMYFUNCTION("vlookup(A19,importrange(""https://docs.google.com/spreadsheets/d/1arpJoJSlKHkJ-Zn4sJxqp3okt8tUTIYCnkob2xnYiCU/edit?usp=sharing"",""Jan 2026!$A:$AJ""),36,0)+vlookup(A19,importrange(""https://docs.google.com/spreadsheets/d/1arpJoJSlKHkJ-Zn4sJxqp3okt8tUTIYCn"&amp;"kob2xnYiCU/edit?usp=sharing"",""Feb 2026!$A:$AJ""),36,0)+vlookup(A19,importrange(""https://docs.google.com/spreadsheets/d/1arpJoJSlKHkJ-Zn4sJxqp3okt8tUTIYCnkob2xnYiCU/edit?usp=sharing"",""Mar 2026!$A:$AJ""),36,0)+vlookup(A19,importrange(""https://docs.goo"&amp;"gle.com/spreadsheets/d/1arpJoJSlKHkJ-Zn4sJxqp3okt8tUTIYCnkob2xnYiCU/edit?usp=sharing"",""Apr 2026!$A:$AJ""),36,0)+vlookup(A19,importrange(""https://docs.google.com/spreadsheets/d/1arpJoJSlKHkJ-Zn4sJxqp3okt8tUTIYCnkob2xnYiCU/edit?usp=sharing"",""May 2026!$"&amp;"A:$AJ""),36,0)+vlookup(A19,importrange(""https://docs.google.com/spreadsheets/d/1arpJoJSlKHkJ-Zn4sJxqp3okt8tUTIYCnkob2xnYiCU/edit?usp=sharing"",""June 2026!$A:$AJ""),36,0)+vlookup(A19,importrange(""https://docs.google.com/spreadsheets/d/1arpJoJSlKHkJ-Zn4s"&amp;"Jxqp3okt8tUTIYCnkob2xnYiCU/edit?usp=sharing"",""Current Month!$A:$AJ""),36,0)"),0.0)</f>
        <v>0</v>
      </c>
      <c r="E19" s="9">
        <f>IFERROR(__xludf.DUMMYFUNCTION("vlookup(A19,importrange(""https://docs.google.com/spreadsheets/d/1arpJoJSlKHkJ-Zn4sJxqp3okt8tUTIYCnkob2xnYiCU/edit?usp=sharing"",""Jan 2026!$A:$AK""),37,0)+vlookup(A19,importrange(""https://docs.google.com/spreadsheets/d/1arpJoJSlKHkJ-Zn4sJxqp3okt8tUTIYCn"&amp;"kob2xnYiCU/edit?usp=sharing"",""Feb 2026!$A:$AK""),37,0)+vlookup(A19,importrange(""https://docs.google.com/spreadsheets/d/1arpJoJSlKHkJ-Zn4sJxqp3okt8tUTIYCnkob2xnYiCU/edit?usp=sharing"",""Mar 2026!$A:$AK""),37,0)+vlookup(A19,importrange(""https://docs.goo"&amp;"gle.com/spreadsheets/d/1arpJoJSlKHkJ-Zn4sJxqp3okt8tUTIYCnkob2xnYiCU/edit?usp=sharing"",""Apr 2026!$A:$AK""),37,0)+vlookup(A19,importrange(""https://docs.google.com/spreadsheets/d/1arpJoJSlKHkJ-Zn4sJxqp3okt8tUTIYCnkob2xnYiCU/edit?usp=sharing"",""May 2026!$"&amp;"A:$AK""),37,0)+vlookup(A19,importrange(""https://docs.google.com/spreadsheets/d/1arpJoJSlKHkJ-Zn4sJxqp3okt8tUTIYCnkob2xnYiCU/edit?usp=sharing"",""June 2026!$A:$AK""),37,0)+vlookup(A19,importrange(""https://docs.google.com/spreadsheets/d/1arpJoJSlKHkJ-Zn4s"&amp;"Jxqp3okt8tUTIYCnkob2xnYiCU/edit?usp=sharing"",""Current Month!$A:$AK""),37,0)"),0.0)</f>
        <v>0</v>
      </c>
      <c r="F19" s="9">
        <f t="shared" si="1"/>
        <v>3</v>
      </c>
      <c r="G19" s="9">
        <f>IFERROR(__xludf.DUMMYFUNCTION("vlookup(A19,importrange(""https://docs.google.com/spreadsheets/d/1arpJoJSlKHkJ-Zn4sJxqp3okt8tUTIYCnkob2xnYiCU/edit?usp=sharing"",""Jan 2026!$A:$AN""),40,0)+vlookup(A19,importrange(""https://docs.google.com/spreadsheets/d/1arpJoJSlKHkJ-Zn4sJxqp3okt8tUTIYCn"&amp;"kob2xnYiCU/edit?usp=sharing"",""Feb 2026!$A:$AN""),40,0)+vlookup(A19,importrange(""https://docs.google.com/spreadsheets/d/1arpJoJSlKHkJ-Zn4sJxqp3okt8tUTIYCnkob2xnYiCU/edit?usp=sharing"",""Mar 2026!$A:$AN""),40,0)+vlookup(A19,importrange(""https://docs.goo"&amp;"gle.com/spreadsheets/d/1arpJoJSlKHkJ-Zn4sJxqp3okt8tUTIYCnkob2xnYiCU/edit?usp=sharing"",""Apr 2026!$A:$AN""),40,0)+vlookup(A19,importrange(""https://docs.google.com/spreadsheets/d/1arpJoJSlKHkJ-Zn4sJxqp3okt8tUTIYCnkob2xnYiCU/edit?usp=sharing"",""May 2026!$"&amp;"A:$AN""),40,0)+vlookup(A19,importrange(""https://docs.google.com/spreadsheets/d/1arpJoJSlKHkJ-Zn4sJxqp3okt8tUTIYCnkob2xnYiCU/edit?usp=sharing"",""June 2026!$A:$AN""),40,0)+vlookup(A19,importrange(""https://docs.google.com/spreadsheets/d/1arpJoJSlKHkJ-Zn4s"&amp;"Jxqp3okt8tUTIYCnkob2xnYiCU/edit?usp=sharing"",""Current Month!$A:$AN""),40,0)"),1.0)</f>
        <v>1</v>
      </c>
      <c r="H19" s="9">
        <v>12.0</v>
      </c>
      <c r="I19" s="10">
        <f t="shared" si="2"/>
        <v>10.5</v>
      </c>
      <c r="J19" s="9">
        <f>IFERROR(__xludf.DUMMYFUNCTION("vlookup(A19,importrange(""https://docs.google.com/spreadsheets/d/1arpJoJSlKHkJ-Zn4sJxqp3okt8tUTIYCnkob2xnYiCU/edit?usp=sharing"",""Jan 2026!$A:$AP""),41,0)+vlookup(A19,importrange(""https://docs.google.com/spreadsheets/d/1arpJoJSlKHkJ-Zn4sJxqp3okt8tUTIYCn"&amp;"kob2xnYiCU/edit?usp=sharing"",""Feb 2026!$A:$AP""),41,0)+vlookup(A19,importrange(""https://docs.google.com/spreadsheets/d/1arpJoJSlKHkJ-Zn4sJxqp3okt8tUTIYCnkob2xnYiCU/edit?usp=sharing"",""Mar 2026!$A:$AP""),41,0)+vlookup(A19,importrange(""https://docs.goo"&amp;"gle.com/spreadsheets/d/1arpJoJSlKHkJ-Zn4sJxqp3okt8tUTIYCnkob2xnYiCU/edit?usp=sharing"",""Current Month!$A:$AP""),41,0)"),11.0)</f>
        <v>11</v>
      </c>
      <c r="K19" s="11">
        <f>IFERROR(__xludf.DUMMYFUNCTION("J19/((vlookup(A19,importrange(""https://docs.google.com/spreadsheets/d/1arpJoJSlKHkJ-Zn4sJxqp3okt8tUTIYCnkob2xnYiCU/edit?usp=sharing"",""Jan 2026!$A:$AG""),33,0))+(vlookup(A19,importrange(""https://docs.google.com/spreadsheets/d/1arpJoJSlKHkJ-Zn4sJxqp3okt"&amp;"8tUTIYCnkob2xnYiCU/edit?usp=sharing"",""Feb 2026!$A:$AG""),33,0))+(vlookup(A19,importrange(""https://docs.google.com/spreadsheets/d/1arpJoJSlKHkJ-Zn4sJxqp3okt8tUTIYCnkob2xnYiCU/edit?usp=sharing"",""Mar 2026!$A:$AG""),33,0))+(vlookup(A19,importrange(""http"&amp;"s://docs.google.com/spreadsheets/d/1arpJoJSlKHkJ-Zn4sJxqp3okt8tUTIYCnkob2xnYiCU/edit?usp=sharing"",""Apr 2026!$A:$AG""),33,0))+(vlookup(A19,importrange(""https://docs.google.com/spreadsheets/d/1arpJoJSlKHkJ-Zn4sJxqp3okt8tUTIYCnkob2xnYiCU/edit?usp=sharing"&amp;""",""Current Month!$A:$AG""),33,0)))"),0.11891891891891893)</f>
        <v>0.1189189189</v>
      </c>
      <c r="L19" s="9">
        <f>IFERROR(__xludf.DUMMYFUNCTION("vlookup(A19,importrange(""https://docs.google.com/spreadsheets/d/1arpJoJSlKHkJ-Zn4sJxqp3okt8tUTIYCnkob2xnYiCU/edit?usp=sharing"",""Current Month!$A:$AP""),42,0)+vlookup(A19,importrange(""https://docs.google.com/spreadsheets/d/1arpJoJSlKHkJ-Zn4sJxqp3okt8tU"&amp;"TIYCnkob2xnYiCU/edit?usp=sharing"",""Jan 2026!$A:$AP""),42,0)+vlookup(A19,importrange(""https://docs.google.com/spreadsheets/d/1arpJoJSlKHkJ-Zn4sJxqp3okt8tUTIYCnkob2xnYiCU/edit?usp=sharing"",""Feb 2026!$A:$AP""),42,0)+vlookup(A19,importrange(""https://doc"&amp;"s.google.com/spreadsheets/d/1arpJoJSlKHkJ-Zn4sJxqp3okt8tUTIYCnkob2xnYiCU/edit?usp=sharing"",""Mar 2026!$A:$AP""),42,0)+vlookup(A19,importrange(""https://docs.google.com/spreadsheets/d/1arpJoJSlKHkJ-Zn4sJxqp3okt8tUTIYCnkob2xnYiCU/edit?usp=sharing"",""Apr 2"&amp;"026!$A:$AP""),42,0)"),0.0)</f>
        <v>0</v>
      </c>
    </row>
    <row r="20" ht="15.75" customHeight="1">
      <c r="A20" s="8" t="s">
        <v>29</v>
      </c>
      <c r="B20" s="9">
        <f>IFERROR(__xludf.DUMMYFUNCTION("vlookup(A20,importrange(""https://docs.google.com/spreadsheets/d/1arpJoJSlKHkJ-Zn4sJxqp3okt8tUTIYCnkob2xnYiCU/edit?usp=sharing"",""Jan 2026!$A:$AH""),34,0)+vlookup(A20,importrange(""https://docs.google.com/spreadsheets/d/1arpJoJSlKHkJ-Zn4sJxqp3okt8tUTIYCn"&amp;"kob2xnYiCU/edit?usp=sharing"",""Feb 2026!$A:$AH""),34,0)+vlookup(A20,importrange(""https://docs.google.com/spreadsheets/d/1arpJoJSlKHkJ-Zn4sJxqp3okt8tUTIYCnkob2xnYiCU/edit?usp=sharing"",""Mar 2026!$A:$AH""),34,0)+vlookup(A20,importrange(""https://docs.goo"&amp;"gle.com/spreadsheets/d/1arpJoJSlKHkJ-Zn4sJxqp3okt8tUTIYCnkob2xnYiCU/edit?usp=sharing"",""Apr 2026!$A:$AH""),34,0)+vlookup(A20,importrange(""https://docs.google.com/spreadsheets/d/1arpJoJSlKHkJ-Zn4sJxqp3okt8tUTIYCnkob2xnYiCU/edit?usp=sharing"",""May 2026!$"&amp;"A:$AH""),34,0)+vlookup(A20,importrange(""https://docs.google.com/spreadsheets/d/1arpJoJSlKHkJ-Zn4sJxqp3okt8tUTIYCnkob2xnYiCU/edit?usp=sharing"",""June 2026!$A:$AH""),34,0)+vlookup(A20,importrange(""https://docs.google.com/spreadsheets/d/1arpJoJSlKHkJ-Zn4s"&amp;"Jxqp3okt8tUTIYCnkob2xnYiCU/edit?usp=sharing"",""Current Month!$A:$AH""),34,0)"),7.0)</f>
        <v>7</v>
      </c>
      <c r="C20" s="9">
        <f>IFERROR(__xludf.DUMMYFUNCTION("vlookup(A20,importrange(""https://docs.google.com/spreadsheets/d/1arpJoJSlKHkJ-Zn4sJxqp3okt8tUTIYCnkob2xnYiCU/edit?usp=sharing"",""Jan 2026!$A:$AI""),35,0)+vlookup(A20,importrange(""https://docs.google.com/spreadsheets/d/1arpJoJSlKHkJ-Zn4sJxqp3okt8tUTIYCn"&amp;"kob2xnYiCU/edit?usp=sharing"",""Feb 2026!$A:$AI""),35,0)+vlookup(A20,importrange(""https://docs.google.com/spreadsheets/d/1arpJoJSlKHkJ-Zn4sJxqp3okt8tUTIYCnkob2xnYiCU/edit?usp=sharing"",""Mar 2026!$A:$AI""),35,0)+vlookup(A20,importrange(""https://docs.goo"&amp;"gle.com/spreadsheets/d/1arpJoJSlKHkJ-Zn4sJxqp3okt8tUTIYCnkob2xnYiCU/edit?usp=sharing"",""Apr 2026!$A:$AI""),35,0)+vlookup(A20,importrange(""https://docs.google.com/spreadsheets/d/1arpJoJSlKHkJ-Zn4sJxqp3okt8tUTIYCnkob2xnYiCU/edit?usp=sharing"",""May 2026!$"&amp;"A:$AI""),35,0)+vlookup(A20,importrange(""https://docs.google.com/spreadsheets/d/1arpJoJSlKHkJ-Zn4sJxqp3okt8tUTIYCnkob2xnYiCU/edit?usp=sharing"",""June 2026!$A:$AI""),35,0)+vlookup(A20,importrange(""https://docs.google.com/spreadsheets/d/1arpJoJSlKHkJ-Zn4s"&amp;"Jxqp3okt8tUTIYCnkob2xnYiCU/edit?usp=sharing"",""Current Month!$A:$AI""),35,0)"),2.5)</f>
        <v>2.5</v>
      </c>
      <c r="D20" s="9">
        <f>IFERROR(__xludf.DUMMYFUNCTION("vlookup(A20,importrange(""https://docs.google.com/spreadsheets/d/1arpJoJSlKHkJ-Zn4sJxqp3okt8tUTIYCnkob2xnYiCU/edit?usp=sharing"",""Jan 2026!$A:$AJ""),36,0)+vlookup(A20,importrange(""https://docs.google.com/spreadsheets/d/1arpJoJSlKHkJ-Zn4sJxqp3okt8tUTIYCn"&amp;"kob2xnYiCU/edit?usp=sharing"",""Feb 2026!$A:$AJ""),36,0)+vlookup(A20,importrange(""https://docs.google.com/spreadsheets/d/1arpJoJSlKHkJ-Zn4sJxqp3okt8tUTIYCnkob2xnYiCU/edit?usp=sharing"",""Mar 2026!$A:$AJ""),36,0)+vlookup(A20,importrange(""https://docs.goo"&amp;"gle.com/spreadsheets/d/1arpJoJSlKHkJ-Zn4sJxqp3okt8tUTIYCnkob2xnYiCU/edit?usp=sharing"",""Apr 2026!$A:$AJ""),36,0)+vlookup(A20,importrange(""https://docs.google.com/spreadsheets/d/1arpJoJSlKHkJ-Zn4sJxqp3okt8tUTIYCnkob2xnYiCU/edit?usp=sharing"",""May 2026!$"&amp;"A:$AJ""),36,0)+vlookup(A20,importrange(""https://docs.google.com/spreadsheets/d/1arpJoJSlKHkJ-Zn4sJxqp3okt8tUTIYCnkob2xnYiCU/edit?usp=sharing"",""June 2026!$A:$AJ""),36,0)+vlookup(A20,importrange(""https://docs.google.com/spreadsheets/d/1arpJoJSlKHkJ-Zn4s"&amp;"Jxqp3okt8tUTIYCnkob2xnYiCU/edit?usp=sharing"",""Current Month!$A:$AJ""),36,0)"),0.0)</f>
        <v>0</v>
      </c>
      <c r="E20" s="9">
        <f>IFERROR(__xludf.DUMMYFUNCTION("vlookup(A20,importrange(""https://docs.google.com/spreadsheets/d/1arpJoJSlKHkJ-Zn4sJxqp3okt8tUTIYCnkob2xnYiCU/edit?usp=sharing"",""Jan 2026!$A:$AK""),37,0)+vlookup(A20,importrange(""https://docs.google.com/spreadsheets/d/1arpJoJSlKHkJ-Zn4sJxqp3okt8tUTIYCn"&amp;"kob2xnYiCU/edit?usp=sharing"",""Feb 2026!$A:$AK""),37,0)+vlookup(A20,importrange(""https://docs.google.com/spreadsheets/d/1arpJoJSlKHkJ-Zn4sJxqp3okt8tUTIYCnkob2xnYiCU/edit?usp=sharing"",""Mar 2026!$A:$AK""),37,0)+vlookup(A20,importrange(""https://docs.goo"&amp;"gle.com/spreadsheets/d/1arpJoJSlKHkJ-Zn4sJxqp3okt8tUTIYCnkob2xnYiCU/edit?usp=sharing"",""Apr 2026!$A:$AK""),37,0)+vlookup(A20,importrange(""https://docs.google.com/spreadsheets/d/1arpJoJSlKHkJ-Zn4sJxqp3okt8tUTIYCnkob2xnYiCU/edit?usp=sharing"",""May 2026!$"&amp;"A:$AK""),37,0)+vlookup(A20,importrange(""https://docs.google.com/spreadsheets/d/1arpJoJSlKHkJ-Zn4sJxqp3okt8tUTIYCnkob2xnYiCU/edit?usp=sharing"",""June 2026!$A:$AK""),37,0)+vlookup(A20,importrange(""https://docs.google.com/spreadsheets/d/1arpJoJSlKHkJ-Zn4s"&amp;"Jxqp3okt8tUTIYCnkob2xnYiCU/edit?usp=sharing"",""Current Month!$A:$AK""),37,0)"),0.0)</f>
        <v>0</v>
      </c>
      <c r="F20" s="9">
        <f t="shared" si="1"/>
        <v>4</v>
      </c>
      <c r="G20" s="9">
        <f>IFERROR(__xludf.DUMMYFUNCTION("vlookup(A20,importrange(""https://docs.google.com/spreadsheets/d/1arpJoJSlKHkJ-Zn4sJxqp3okt8tUTIYCnkob2xnYiCU/edit?usp=sharing"",""Jan 2026!$A:$AN""),40,0)+vlookup(A20,importrange(""https://docs.google.com/spreadsheets/d/1arpJoJSlKHkJ-Zn4sJxqp3okt8tUTIYCn"&amp;"kob2xnYiCU/edit?usp=sharing"",""Feb 2026!$A:$AN""),40,0)+vlookup(A20,importrange(""https://docs.google.com/spreadsheets/d/1arpJoJSlKHkJ-Zn4sJxqp3okt8tUTIYCnkob2xnYiCU/edit?usp=sharing"",""Mar 2026!$A:$AN""),40,0)+vlookup(A20,importrange(""https://docs.goo"&amp;"gle.com/spreadsheets/d/1arpJoJSlKHkJ-Zn4sJxqp3okt8tUTIYCnkob2xnYiCU/edit?usp=sharing"",""Apr 2026!$A:$AN""),40,0)+vlookup(A20,importrange(""https://docs.google.com/spreadsheets/d/1arpJoJSlKHkJ-Zn4sJxqp3okt8tUTIYCnkob2xnYiCU/edit?usp=sharing"",""May 2026!$"&amp;"A:$AN""),40,0)+vlookup(A20,importrange(""https://docs.google.com/spreadsheets/d/1arpJoJSlKHkJ-Zn4sJxqp3okt8tUTIYCnkob2xnYiCU/edit?usp=sharing"",""June 2026!$A:$AN""),40,0)+vlookup(A20,importrange(""https://docs.google.com/spreadsheets/d/1arpJoJSlKHkJ-Zn4s"&amp;"Jxqp3okt8tUTIYCnkob2xnYiCU/edit?usp=sharing"",""Current Month!$A:$AN""),40,0)"),0.0)</f>
        <v>0</v>
      </c>
      <c r="H20" s="9">
        <v>12.0</v>
      </c>
      <c r="I20" s="10">
        <f t="shared" si="2"/>
        <v>11.5</v>
      </c>
      <c r="J20" s="9">
        <f>IFERROR(__xludf.DUMMYFUNCTION("vlookup(A20,importrange(""https://docs.google.com/spreadsheets/d/1arpJoJSlKHkJ-Zn4sJxqp3okt8tUTIYCnkob2xnYiCU/edit?usp=sharing"",""Jan 2026!$A:$AP""),41,0)+vlookup(A20,importrange(""https://docs.google.com/spreadsheets/d/1arpJoJSlKHkJ-Zn4sJxqp3okt8tUTIYCn"&amp;"kob2xnYiCU/edit?usp=sharing"",""Feb 2026!$A:$AP""),41,0)+vlookup(A20,importrange(""https://docs.google.com/spreadsheets/d/1arpJoJSlKHkJ-Zn4sJxqp3okt8tUTIYCnkob2xnYiCU/edit?usp=sharing"",""Mar 2026!$A:$AP""),41,0)+vlookup(A20,importrange(""https://docs.goo"&amp;"gle.com/spreadsheets/d/1arpJoJSlKHkJ-Zn4sJxqp3okt8tUTIYCnkob2xnYiCU/edit?usp=sharing"",""Current Month!$A:$AP""),41,0)"),16.0)</f>
        <v>16</v>
      </c>
      <c r="K20" s="11">
        <f>IFERROR(__xludf.DUMMYFUNCTION("J20/((vlookup(A20,importrange(""https://docs.google.com/spreadsheets/d/1arpJoJSlKHkJ-Zn4sJxqp3okt8tUTIYCnkob2xnYiCU/edit?usp=sharing"",""Jan 2026!$A:$AG""),33,0))+(vlookup(A20,importrange(""https://docs.google.com/spreadsheets/d/1arpJoJSlKHkJ-Zn4sJxqp3okt"&amp;"8tUTIYCnkob2xnYiCU/edit?usp=sharing"",""Feb 2026!$A:$AG""),33,0))+(vlookup(A20,importrange(""https://docs.google.com/spreadsheets/d/1arpJoJSlKHkJ-Zn4sJxqp3okt8tUTIYCnkob2xnYiCU/edit?usp=sharing"",""Mar 2026!$A:$AG""),33,0))+(vlookup(A20,importrange(""http"&amp;"s://docs.google.com/spreadsheets/d/1arpJoJSlKHkJ-Zn4sJxqp3okt8tUTIYCnkob2xnYiCU/edit?usp=sharing"",""Apr 2026!$A:$AG""),33,0))+(vlookup(A20,importrange(""https://docs.google.com/spreadsheets/d/1arpJoJSlKHkJ-Zn4sJxqp3okt8tUTIYCnkob2xnYiCU/edit?usp=sharing"&amp;""",""Current Month!$A:$AG""),33,0)))"),0.16753926701570682)</f>
        <v>0.167539267</v>
      </c>
      <c r="L20" s="9">
        <f>IFERROR(__xludf.DUMMYFUNCTION("vlookup(A20,importrange(""https://docs.google.com/spreadsheets/d/1arpJoJSlKHkJ-Zn4sJxqp3okt8tUTIYCnkob2xnYiCU/edit?usp=sharing"",""Current Month!$A:$AP""),42,0)+vlookup(A20,importrange(""https://docs.google.com/spreadsheets/d/1arpJoJSlKHkJ-Zn4sJxqp3okt8tU"&amp;"TIYCnkob2xnYiCU/edit?usp=sharing"",""Jan 2026!$A:$AP""),42,0)+vlookup(A20,importrange(""https://docs.google.com/spreadsheets/d/1arpJoJSlKHkJ-Zn4sJxqp3okt8tUTIYCnkob2xnYiCU/edit?usp=sharing"",""Feb 2026!$A:$AP""),42,0)+vlookup(A20,importrange(""https://doc"&amp;"s.google.com/spreadsheets/d/1arpJoJSlKHkJ-Zn4sJxqp3okt8tUTIYCnkob2xnYiCU/edit?usp=sharing"",""Mar 2026!$A:$AP""),42,0)+vlookup(A20,importrange(""https://docs.google.com/spreadsheets/d/1arpJoJSlKHkJ-Zn4sJxqp3okt8tUTIYCnkob2xnYiCU/edit?usp=sharing"",""Apr 2"&amp;"026!$A:$AP""),42,0)"),2.0)</f>
        <v>2</v>
      </c>
    </row>
    <row r="21" ht="15.75" customHeight="1">
      <c r="A21" s="8" t="s">
        <v>30</v>
      </c>
      <c r="B21" s="9">
        <f>IFERROR(__xludf.DUMMYFUNCTION("vlookup(A21,importrange(""https://docs.google.com/spreadsheets/d/1arpJoJSlKHkJ-Zn4sJxqp3okt8tUTIYCnkob2xnYiCU/edit?usp=sharing"",""Jan 2026!$A:$AH""),34,0)+vlookup(A21,importrange(""https://docs.google.com/spreadsheets/d/1arpJoJSlKHkJ-Zn4sJxqp3okt8tUTIYCn"&amp;"kob2xnYiCU/edit?usp=sharing"",""Feb 2026!$A:$AH""),34,0)+vlookup(A21,importrange(""https://docs.google.com/spreadsheets/d/1arpJoJSlKHkJ-Zn4sJxqp3okt8tUTIYCnkob2xnYiCU/edit?usp=sharing"",""Mar 2026!$A:$AH""),34,0)+vlookup(A21,importrange(""https://docs.goo"&amp;"gle.com/spreadsheets/d/1arpJoJSlKHkJ-Zn4sJxqp3okt8tUTIYCnkob2xnYiCU/edit?usp=sharing"",""Apr 2026!$A:$AH""),34,0)+vlookup(A21,importrange(""https://docs.google.com/spreadsheets/d/1arpJoJSlKHkJ-Zn4sJxqp3okt8tUTIYCnkob2xnYiCU/edit?usp=sharing"",""May 2026!$"&amp;"A:$AH""),34,0)+vlookup(A21,importrange(""https://docs.google.com/spreadsheets/d/1arpJoJSlKHkJ-Zn4sJxqp3okt8tUTIYCnkob2xnYiCU/edit?usp=sharing"",""June 2026!$A:$AH""),34,0)+vlookup(A21,importrange(""https://docs.google.com/spreadsheets/d/1arpJoJSlKHkJ-Zn4s"&amp;"Jxqp3okt8tUTIYCnkob2xnYiCU/edit?usp=sharing"",""Current Month!$A:$AH""),34,0)"),6.0)</f>
        <v>6</v>
      </c>
      <c r="C21" s="9">
        <f>IFERROR(__xludf.DUMMYFUNCTION("vlookup(A21,importrange(""https://docs.google.com/spreadsheets/d/1arpJoJSlKHkJ-Zn4sJxqp3okt8tUTIYCnkob2xnYiCU/edit?usp=sharing"",""Jan 2026!$A:$AI""),35,0)+vlookup(A21,importrange(""https://docs.google.com/spreadsheets/d/1arpJoJSlKHkJ-Zn4sJxqp3okt8tUTIYCn"&amp;"kob2xnYiCU/edit?usp=sharing"",""Feb 2026!$A:$AI""),35,0)+vlookup(A21,importrange(""https://docs.google.com/spreadsheets/d/1arpJoJSlKHkJ-Zn4sJxqp3okt8tUTIYCnkob2xnYiCU/edit?usp=sharing"",""Mar 2026!$A:$AI""),35,0)+vlookup(A21,importrange(""https://docs.goo"&amp;"gle.com/spreadsheets/d/1arpJoJSlKHkJ-Zn4sJxqp3okt8tUTIYCnkob2xnYiCU/edit?usp=sharing"",""Apr 2026!$A:$AI""),35,0)+vlookup(A21,importrange(""https://docs.google.com/spreadsheets/d/1arpJoJSlKHkJ-Zn4sJxqp3okt8tUTIYCnkob2xnYiCU/edit?usp=sharing"",""May 2026!$"&amp;"A:$AI""),35,0)+vlookup(A21,importrange(""https://docs.google.com/spreadsheets/d/1arpJoJSlKHkJ-Zn4sJxqp3okt8tUTIYCnkob2xnYiCU/edit?usp=sharing"",""June 2026!$A:$AI""),35,0)+vlookup(A21,importrange(""https://docs.google.com/spreadsheets/d/1arpJoJSlKHkJ-Zn4s"&amp;"Jxqp3okt8tUTIYCnkob2xnYiCU/edit?usp=sharing"",""Current Month!$A:$AI""),35,0)"),7.5)</f>
        <v>7.5</v>
      </c>
      <c r="D21" s="9">
        <f>IFERROR(__xludf.DUMMYFUNCTION("vlookup(A21,importrange(""https://docs.google.com/spreadsheets/d/1arpJoJSlKHkJ-Zn4sJxqp3okt8tUTIYCnkob2xnYiCU/edit?usp=sharing"",""Jan 2026!$A:$AJ""),36,0)+vlookup(A21,importrange(""https://docs.google.com/spreadsheets/d/1arpJoJSlKHkJ-Zn4sJxqp3okt8tUTIYCn"&amp;"kob2xnYiCU/edit?usp=sharing"",""Feb 2026!$A:$AJ""),36,0)+vlookup(A21,importrange(""https://docs.google.com/spreadsheets/d/1arpJoJSlKHkJ-Zn4sJxqp3okt8tUTIYCnkob2xnYiCU/edit?usp=sharing"",""Mar 2026!$A:$AJ""),36,0)+vlookup(A21,importrange(""https://docs.goo"&amp;"gle.com/spreadsheets/d/1arpJoJSlKHkJ-Zn4sJxqp3okt8tUTIYCnkob2xnYiCU/edit?usp=sharing"",""Apr 2026!$A:$AJ""),36,0)+vlookup(A21,importrange(""https://docs.google.com/spreadsheets/d/1arpJoJSlKHkJ-Zn4sJxqp3okt8tUTIYCnkob2xnYiCU/edit?usp=sharing"",""May 2026!$"&amp;"A:$AJ""),36,0)+vlookup(A21,importrange(""https://docs.google.com/spreadsheets/d/1arpJoJSlKHkJ-Zn4sJxqp3okt8tUTIYCnkob2xnYiCU/edit?usp=sharing"",""June 2026!$A:$AJ""),36,0)+vlookup(A21,importrange(""https://docs.google.com/spreadsheets/d/1arpJoJSlKHkJ-Zn4s"&amp;"Jxqp3okt8tUTIYCnkob2xnYiCU/edit?usp=sharing"",""Current Month!$A:$AJ""),36,0)"),0.0)</f>
        <v>0</v>
      </c>
      <c r="E21" s="9">
        <f>IFERROR(__xludf.DUMMYFUNCTION("vlookup(A21,importrange(""https://docs.google.com/spreadsheets/d/1arpJoJSlKHkJ-Zn4sJxqp3okt8tUTIYCnkob2xnYiCU/edit?usp=sharing"",""Jan 2026!$A:$AK""),37,0)+vlookup(A21,importrange(""https://docs.google.com/spreadsheets/d/1arpJoJSlKHkJ-Zn4sJxqp3okt8tUTIYCn"&amp;"kob2xnYiCU/edit?usp=sharing"",""Feb 2026!$A:$AK""),37,0)+vlookup(A21,importrange(""https://docs.google.com/spreadsheets/d/1arpJoJSlKHkJ-Zn4sJxqp3okt8tUTIYCnkob2xnYiCU/edit?usp=sharing"",""Mar 2026!$A:$AK""),37,0)+vlookup(A21,importrange(""https://docs.goo"&amp;"gle.com/spreadsheets/d/1arpJoJSlKHkJ-Zn4sJxqp3okt8tUTIYCnkob2xnYiCU/edit?usp=sharing"",""Apr 2026!$A:$AK""),37,0)+vlookup(A21,importrange(""https://docs.google.com/spreadsheets/d/1arpJoJSlKHkJ-Zn4sJxqp3okt8tUTIYCnkob2xnYiCU/edit?usp=sharing"",""May 2026!$"&amp;"A:$AK""),37,0)+vlookup(A21,importrange(""https://docs.google.com/spreadsheets/d/1arpJoJSlKHkJ-Zn4sJxqp3okt8tUTIYCnkob2xnYiCU/edit?usp=sharing"",""June 2026!$A:$AK""),37,0)+vlookup(A21,importrange(""https://docs.google.com/spreadsheets/d/1arpJoJSlKHkJ-Zn4s"&amp;"Jxqp3okt8tUTIYCnkob2xnYiCU/edit?usp=sharing"",""Current Month!$A:$AK""),37,0)"),0.0)</f>
        <v>0</v>
      </c>
      <c r="F21" s="9">
        <f t="shared" si="1"/>
        <v>4</v>
      </c>
      <c r="G21" s="9">
        <f>IFERROR(__xludf.DUMMYFUNCTION("vlookup(A21,importrange(""https://docs.google.com/spreadsheets/d/1arpJoJSlKHkJ-Zn4sJxqp3okt8tUTIYCnkob2xnYiCU/edit?usp=sharing"",""Jan 2026!$A:$AN""),40,0)+vlookup(A21,importrange(""https://docs.google.com/spreadsheets/d/1arpJoJSlKHkJ-Zn4sJxqp3okt8tUTIYCn"&amp;"kob2xnYiCU/edit?usp=sharing"",""Feb 2026!$A:$AN""),40,0)+vlookup(A21,importrange(""https://docs.google.com/spreadsheets/d/1arpJoJSlKHkJ-Zn4sJxqp3okt8tUTIYCnkob2xnYiCU/edit?usp=sharing"",""Mar 2026!$A:$AN""),40,0)+vlookup(A21,importrange(""https://docs.goo"&amp;"gle.com/spreadsheets/d/1arpJoJSlKHkJ-Zn4sJxqp3okt8tUTIYCnkob2xnYiCU/edit?usp=sharing"",""Apr 2026!$A:$AN""),40,0)+vlookup(A21,importrange(""https://docs.google.com/spreadsheets/d/1arpJoJSlKHkJ-Zn4sJxqp3okt8tUTIYCnkob2xnYiCU/edit?usp=sharing"",""May 2026!$"&amp;"A:$AN""),40,0)+vlookup(A21,importrange(""https://docs.google.com/spreadsheets/d/1arpJoJSlKHkJ-Zn4sJxqp3okt8tUTIYCnkob2xnYiCU/edit?usp=sharing"",""June 2026!$A:$AN""),40,0)+vlookup(A21,importrange(""https://docs.google.com/spreadsheets/d/1arpJoJSlKHkJ-Zn4s"&amp;"Jxqp3okt8tUTIYCnkob2xnYiCU/edit?usp=sharing"",""Current Month!$A:$AN""),40,0)"),0.0)</f>
        <v>0</v>
      </c>
      <c r="H21" s="9">
        <v>12.0</v>
      </c>
      <c r="I21" s="10">
        <f t="shared" si="2"/>
        <v>7.5</v>
      </c>
      <c r="J21" s="9">
        <f>IFERROR(__xludf.DUMMYFUNCTION("vlookup(A21,importrange(""https://docs.google.com/spreadsheets/d/1arpJoJSlKHkJ-Zn4sJxqp3okt8tUTIYCnkob2xnYiCU/edit?usp=sharing"",""Jan 2026!$A:$AP""),41,0)+vlookup(A21,importrange(""https://docs.google.com/spreadsheets/d/1arpJoJSlKHkJ-Zn4sJxqp3okt8tUTIYCn"&amp;"kob2xnYiCU/edit?usp=sharing"",""Feb 2026!$A:$AP""),41,0)+vlookup(A21,importrange(""https://docs.google.com/spreadsheets/d/1arpJoJSlKHkJ-Zn4sJxqp3okt8tUTIYCnkob2xnYiCU/edit?usp=sharing"",""Mar 2026!$A:$AP""),41,0)+vlookup(A21,importrange(""https://docs.goo"&amp;"gle.com/spreadsheets/d/1arpJoJSlKHkJ-Zn4sJxqp3okt8tUTIYCnkob2xnYiCU/edit?usp=sharing"",""Current Month!$A:$AP""),41,0)"),24.0)</f>
        <v>24</v>
      </c>
      <c r="K21" s="11">
        <f>IFERROR(__xludf.DUMMYFUNCTION("J21/((vlookup(A21,importrange(""https://docs.google.com/spreadsheets/d/1arpJoJSlKHkJ-Zn4sJxqp3okt8tUTIYCnkob2xnYiCU/edit?usp=sharing"",""Jan 2026!$A:$AG""),33,0))+(vlookup(A21,importrange(""https://docs.google.com/spreadsheets/d/1arpJoJSlKHkJ-Zn4sJxqp3okt"&amp;"8tUTIYCnkob2xnYiCU/edit?usp=sharing"",""Feb 2026!$A:$AG""),33,0))+(vlookup(A21,importrange(""https://docs.google.com/spreadsheets/d/1arpJoJSlKHkJ-Zn4sJxqp3okt8tUTIYCnkob2xnYiCU/edit?usp=sharing"",""Mar 2026!$A:$AG""),33,0))+(vlookup(A21,importrange(""http"&amp;"s://docs.google.com/spreadsheets/d/1arpJoJSlKHkJ-Zn4sJxqp3okt8tUTIYCnkob2xnYiCU/edit?usp=sharing"",""Apr 2026!$A:$AG""),33,0))+(vlookup(A21,importrange(""https://docs.google.com/spreadsheets/d/1arpJoJSlKHkJ-Zn4sJxqp3okt8tUTIYCnkob2xnYiCU/edit?usp=sharing"&amp;""",""Current Month!$A:$AG""),33,0)))"),0.2774566473988439)</f>
        <v>0.2774566474</v>
      </c>
      <c r="L21" s="9">
        <f>IFERROR(__xludf.DUMMYFUNCTION("vlookup(A21,importrange(""https://docs.google.com/spreadsheets/d/1arpJoJSlKHkJ-Zn4sJxqp3okt8tUTIYCnkob2xnYiCU/edit?usp=sharing"",""Current Month!$A:$AP""),42,0)+vlookup(A21,importrange(""https://docs.google.com/spreadsheets/d/1arpJoJSlKHkJ-Zn4sJxqp3okt8tU"&amp;"TIYCnkob2xnYiCU/edit?usp=sharing"",""Jan 2026!$A:$AP""),42,0)+vlookup(A21,importrange(""https://docs.google.com/spreadsheets/d/1arpJoJSlKHkJ-Zn4sJxqp3okt8tUTIYCnkob2xnYiCU/edit?usp=sharing"",""Feb 2026!$A:$AP""),42,0)+vlookup(A21,importrange(""https://doc"&amp;"s.google.com/spreadsheets/d/1arpJoJSlKHkJ-Zn4sJxqp3okt8tUTIYCnkob2xnYiCU/edit?usp=sharing"",""Mar 2026!$A:$AP""),42,0)+vlookup(A21,importrange(""https://docs.google.com/spreadsheets/d/1arpJoJSlKHkJ-Zn4sJxqp3okt8tUTIYCnkob2xnYiCU/edit?usp=sharing"",""Apr 2"&amp;"026!$A:$AP""),42,0)"),1.0)</f>
        <v>1</v>
      </c>
    </row>
    <row r="22" ht="15.75" customHeight="1">
      <c r="A22" s="8" t="s">
        <v>31</v>
      </c>
      <c r="B22" s="9">
        <f>IFERROR(__xludf.DUMMYFUNCTION("vlookup(A22,importrange(""https://docs.google.com/spreadsheets/d/1arpJoJSlKHkJ-Zn4sJxqp3okt8tUTIYCnkob2xnYiCU/edit?usp=sharing"",""Jan 2026!$A:$AH""),34,0)+vlookup(A22,importrange(""https://docs.google.com/spreadsheets/d/1arpJoJSlKHkJ-Zn4sJxqp3okt8tUTIYCn"&amp;"kob2xnYiCU/edit?usp=sharing"",""Feb 2026!$A:$AH""),34,0)+vlookup(A22,importrange(""https://docs.google.com/spreadsheets/d/1arpJoJSlKHkJ-Zn4sJxqp3okt8tUTIYCnkob2xnYiCU/edit?usp=sharing"",""Mar 2026!$A:$AH""),34,0)+vlookup(A22,importrange(""https://docs.goo"&amp;"gle.com/spreadsheets/d/1arpJoJSlKHkJ-Zn4sJxqp3okt8tUTIYCnkob2xnYiCU/edit?usp=sharing"",""Apr 2026!$A:$AH""),34,0)+vlookup(A22,importrange(""https://docs.google.com/spreadsheets/d/1arpJoJSlKHkJ-Zn4sJxqp3okt8tUTIYCnkob2xnYiCU/edit?usp=sharing"",""May 2026!$"&amp;"A:$AH""),34,0)+vlookup(A22,importrange(""https://docs.google.com/spreadsheets/d/1arpJoJSlKHkJ-Zn4sJxqp3okt8tUTIYCnkob2xnYiCU/edit?usp=sharing"",""June 2026!$A:$AH""),34,0)+vlookup(A22,importrange(""https://docs.google.com/spreadsheets/d/1arpJoJSlKHkJ-Zn4s"&amp;"Jxqp3okt8tUTIYCnkob2xnYiCU/edit?usp=sharing"",""Current Month!$A:$AH""),34,0)"),6.0)</f>
        <v>6</v>
      </c>
      <c r="C22" s="9">
        <f>IFERROR(__xludf.DUMMYFUNCTION("vlookup(A22,importrange(""https://docs.google.com/spreadsheets/d/1arpJoJSlKHkJ-Zn4sJxqp3okt8tUTIYCnkob2xnYiCU/edit?usp=sharing"",""Jan 2026!$A:$AI""),35,0)+vlookup(A22,importrange(""https://docs.google.com/spreadsheets/d/1arpJoJSlKHkJ-Zn4sJxqp3okt8tUTIYCn"&amp;"kob2xnYiCU/edit?usp=sharing"",""Feb 2026!$A:$AI""),35,0)+vlookup(A22,importrange(""https://docs.google.com/spreadsheets/d/1arpJoJSlKHkJ-Zn4sJxqp3okt8tUTIYCnkob2xnYiCU/edit?usp=sharing"",""Mar 2026!$A:$AI""),35,0)+vlookup(A22,importrange(""https://docs.goo"&amp;"gle.com/spreadsheets/d/1arpJoJSlKHkJ-Zn4sJxqp3okt8tUTIYCnkob2xnYiCU/edit?usp=sharing"",""Apr 2026!$A:$AI""),35,0)+vlookup(A22,importrange(""https://docs.google.com/spreadsheets/d/1arpJoJSlKHkJ-Zn4sJxqp3okt8tUTIYCnkob2xnYiCU/edit?usp=sharing"",""May 2026!$"&amp;"A:$AI""),35,0)+vlookup(A22,importrange(""https://docs.google.com/spreadsheets/d/1arpJoJSlKHkJ-Zn4sJxqp3okt8tUTIYCnkob2xnYiCU/edit?usp=sharing"",""June 2026!$A:$AI""),35,0)+vlookup(A22,importrange(""https://docs.google.com/spreadsheets/d/1arpJoJSlKHkJ-Zn4s"&amp;"Jxqp3okt8tUTIYCnkob2xnYiCU/edit?usp=sharing"",""Current Month!$A:$AI""),35,0)"),2.0)</f>
        <v>2</v>
      </c>
      <c r="D22" s="9">
        <f>IFERROR(__xludf.DUMMYFUNCTION("vlookup(A22,importrange(""https://docs.google.com/spreadsheets/d/1arpJoJSlKHkJ-Zn4sJxqp3okt8tUTIYCnkob2xnYiCU/edit?usp=sharing"",""Jan 2026!$A:$AJ""),36,0)+vlookup(A22,importrange(""https://docs.google.com/spreadsheets/d/1arpJoJSlKHkJ-Zn4sJxqp3okt8tUTIYCn"&amp;"kob2xnYiCU/edit?usp=sharing"",""Feb 2026!$A:$AJ""),36,0)+vlookup(A22,importrange(""https://docs.google.com/spreadsheets/d/1arpJoJSlKHkJ-Zn4sJxqp3okt8tUTIYCnkob2xnYiCU/edit?usp=sharing"",""Mar 2026!$A:$AJ""),36,0)+vlookup(A22,importrange(""https://docs.goo"&amp;"gle.com/spreadsheets/d/1arpJoJSlKHkJ-Zn4sJxqp3okt8tUTIYCnkob2xnYiCU/edit?usp=sharing"",""Apr 2026!$A:$AJ""),36,0)+vlookup(A22,importrange(""https://docs.google.com/spreadsheets/d/1arpJoJSlKHkJ-Zn4sJxqp3okt8tUTIYCnkob2xnYiCU/edit?usp=sharing"",""May 2026!$"&amp;"A:$AJ""),36,0)+vlookup(A22,importrange(""https://docs.google.com/spreadsheets/d/1arpJoJSlKHkJ-Zn4sJxqp3okt8tUTIYCnkob2xnYiCU/edit?usp=sharing"",""June 2026!$A:$AJ""),36,0)+vlookup(A22,importrange(""https://docs.google.com/spreadsheets/d/1arpJoJSlKHkJ-Zn4s"&amp;"Jxqp3okt8tUTIYCnkob2xnYiCU/edit?usp=sharing"",""Current Month!$A:$AJ""),36,0)"),0.0)</f>
        <v>0</v>
      </c>
      <c r="E22" s="9">
        <f>IFERROR(__xludf.DUMMYFUNCTION("vlookup(A22,importrange(""https://docs.google.com/spreadsheets/d/1arpJoJSlKHkJ-Zn4sJxqp3okt8tUTIYCnkob2xnYiCU/edit?usp=sharing"",""Jan 2026!$A:$AK""),37,0)+vlookup(A22,importrange(""https://docs.google.com/spreadsheets/d/1arpJoJSlKHkJ-Zn4sJxqp3okt8tUTIYCn"&amp;"kob2xnYiCU/edit?usp=sharing"",""Feb 2026!$A:$AK""),37,0)+vlookup(A22,importrange(""https://docs.google.com/spreadsheets/d/1arpJoJSlKHkJ-Zn4sJxqp3okt8tUTIYCnkob2xnYiCU/edit?usp=sharing"",""Mar 2026!$A:$AK""),37,0)+vlookup(A22,importrange(""https://docs.goo"&amp;"gle.com/spreadsheets/d/1arpJoJSlKHkJ-Zn4sJxqp3okt8tUTIYCnkob2xnYiCU/edit?usp=sharing"",""Apr 2026!$A:$AK""),37,0)+vlookup(A22,importrange(""https://docs.google.com/spreadsheets/d/1arpJoJSlKHkJ-Zn4sJxqp3okt8tUTIYCnkob2xnYiCU/edit?usp=sharing"",""May 2026!$"&amp;"A:$AK""),37,0)+vlookup(A22,importrange(""https://docs.google.com/spreadsheets/d/1arpJoJSlKHkJ-Zn4sJxqp3okt8tUTIYCnkob2xnYiCU/edit?usp=sharing"",""June 2026!$A:$AK""),37,0)+vlookup(A22,importrange(""https://docs.google.com/spreadsheets/d/1arpJoJSlKHkJ-Zn4s"&amp;"Jxqp3okt8tUTIYCnkob2xnYiCU/edit?usp=sharing"",""Current Month!$A:$AK""),37,0)"),0.0)</f>
        <v>0</v>
      </c>
      <c r="F22" s="9">
        <f t="shared" si="1"/>
        <v>1</v>
      </c>
      <c r="G22" s="9">
        <f>IFERROR(__xludf.DUMMYFUNCTION("vlookup(A22,importrange(""https://docs.google.com/spreadsheets/d/1arpJoJSlKHkJ-Zn4sJxqp3okt8tUTIYCnkob2xnYiCU/edit?usp=sharing"",""Jan 2026!$A:$AN""),40,0)+vlookup(A22,importrange(""https://docs.google.com/spreadsheets/d/1arpJoJSlKHkJ-Zn4sJxqp3okt8tUTIYCn"&amp;"kob2xnYiCU/edit?usp=sharing"",""Feb 2026!$A:$AN""),40,0)+vlookup(A22,importrange(""https://docs.google.com/spreadsheets/d/1arpJoJSlKHkJ-Zn4sJxqp3okt8tUTIYCnkob2xnYiCU/edit?usp=sharing"",""Mar 2026!$A:$AN""),40,0)+vlookup(A22,importrange(""https://docs.goo"&amp;"gle.com/spreadsheets/d/1arpJoJSlKHkJ-Zn4sJxqp3okt8tUTIYCnkob2xnYiCU/edit?usp=sharing"",""Apr 2026!$A:$AN""),40,0)+vlookup(A22,importrange(""https://docs.google.com/spreadsheets/d/1arpJoJSlKHkJ-Zn4sJxqp3okt8tUTIYCnkob2xnYiCU/edit?usp=sharing"",""May 2026!$"&amp;"A:$AN""),40,0)+vlookup(A22,importrange(""https://docs.google.com/spreadsheets/d/1arpJoJSlKHkJ-Zn4sJxqp3okt8tUTIYCnkob2xnYiCU/edit?usp=sharing"",""June 2026!$A:$AN""),40,0)+vlookup(A22,importrange(""https://docs.google.com/spreadsheets/d/1arpJoJSlKHkJ-Zn4s"&amp;"Jxqp3okt8tUTIYCnkob2xnYiCU/edit?usp=sharing"",""Current Month!$A:$AN""),40,0)"),3.0)</f>
        <v>3</v>
      </c>
      <c r="H22" s="9">
        <v>12.0</v>
      </c>
      <c r="I22" s="10">
        <f t="shared" si="2"/>
        <v>13</v>
      </c>
      <c r="J22" s="9">
        <f>IFERROR(__xludf.DUMMYFUNCTION("vlookup(A22,importrange(""https://docs.google.com/spreadsheets/d/1arpJoJSlKHkJ-Zn4sJxqp3okt8tUTIYCnkob2xnYiCU/edit?usp=sharing"",""Jan 2026!$A:$AP""),41,0)+vlookup(A22,importrange(""https://docs.google.com/spreadsheets/d/1arpJoJSlKHkJ-Zn4sJxqp3okt8tUTIYCn"&amp;"kob2xnYiCU/edit?usp=sharing"",""Feb 2026!$A:$AP""),41,0)+vlookup(A22,importrange(""https://docs.google.com/spreadsheets/d/1arpJoJSlKHkJ-Zn4sJxqp3okt8tUTIYCnkob2xnYiCU/edit?usp=sharing"",""Mar 2026!$A:$AP""),41,0)+vlookup(A22,importrange(""https://docs.goo"&amp;"gle.com/spreadsheets/d/1arpJoJSlKHkJ-Zn4sJxqp3okt8tUTIYCnkob2xnYiCU/edit?usp=sharing"",""Current Month!$A:$AP""),41,0)"),4.0)</f>
        <v>4</v>
      </c>
      <c r="K22" s="11">
        <f>IFERROR(__xludf.DUMMYFUNCTION("J22/((vlookup(A22,importrange(""https://docs.google.com/spreadsheets/d/1arpJoJSlKHkJ-Zn4sJxqp3okt8tUTIYCnkob2xnYiCU/edit?usp=sharing"",""Jan 2026!$A:$AG""),33,0))+(vlookup(A22,importrange(""https://docs.google.com/spreadsheets/d/1arpJoJSlKHkJ-Zn4sJxqp3okt"&amp;"8tUTIYCnkob2xnYiCU/edit?usp=sharing"",""Feb 2026!$A:$AG""),33,0))+(vlookup(A22,importrange(""https://docs.google.com/spreadsheets/d/1arpJoJSlKHkJ-Zn4sJxqp3okt8tUTIYCnkob2xnYiCU/edit?usp=sharing"",""Mar 2026!$A:$AG""),33,0))+(vlookup(A22,importrange(""http"&amp;"s://docs.google.com/spreadsheets/d/1arpJoJSlKHkJ-Zn4sJxqp3okt8tUTIYCnkob2xnYiCU/edit?usp=sharing"",""Apr 2026!$A:$AG""),33,0))+(vlookup(A22,importrange(""https://docs.google.com/spreadsheets/d/1arpJoJSlKHkJ-Zn4sJxqp3okt8tUTIYCnkob2xnYiCU/edit?usp=sharing"&amp;""",""Current Month!$A:$AG""),33,0)))"),0.04395604395604396)</f>
        <v>0.04395604396</v>
      </c>
      <c r="L22" s="9">
        <f>IFERROR(__xludf.DUMMYFUNCTION("vlookup(A22,importrange(""https://docs.google.com/spreadsheets/d/1arpJoJSlKHkJ-Zn4sJxqp3okt8tUTIYCnkob2xnYiCU/edit?usp=sharing"",""Current Month!$A:$AP""),42,0)+vlookup(A22,importrange(""https://docs.google.com/spreadsheets/d/1arpJoJSlKHkJ-Zn4sJxqp3okt8tU"&amp;"TIYCnkob2xnYiCU/edit?usp=sharing"",""Jan 2026!$A:$AP""),42,0)+vlookup(A22,importrange(""https://docs.google.com/spreadsheets/d/1arpJoJSlKHkJ-Zn4sJxqp3okt8tUTIYCnkob2xnYiCU/edit?usp=sharing"",""Feb 2026!$A:$AP""),42,0)+vlookup(A22,importrange(""https://doc"&amp;"s.google.com/spreadsheets/d/1arpJoJSlKHkJ-Zn4sJxqp3okt8tUTIYCnkob2xnYiCU/edit?usp=sharing"",""Mar 2026!$A:$AP""),42,0)+vlookup(A22,importrange(""https://docs.google.com/spreadsheets/d/1arpJoJSlKHkJ-Zn4sJxqp3okt8tUTIYCnkob2xnYiCU/edit?usp=sharing"",""Apr 2"&amp;"026!$A:$AP""),42,0)"),2.0)</f>
        <v>2</v>
      </c>
    </row>
    <row r="23" ht="15.75" customHeight="1">
      <c r="A23" s="8" t="s">
        <v>32</v>
      </c>
      <c r="B23" s="9">
        <f>IFERROR(__xludf.DUMMYFUNCTION("vlookup(A23,importrange(""https://docs.google.com/spreadsheets/d/1arpJoJSlKHkJ-Zn4sJxqp3okt8tUTIYCnkob2xnYiCU/edit?usp=sharing"",""Jan 2026!$A:$AH""),34,0)+vlookup(A23,importrange(""https://docs.google.com/spreadsheets/d/1arpJoJSlKHkJ-Zn4sJxqp3okt8tUTIYCn"&amp;"kob2xnYiCU/edit?usp=sharing"",""Feb 2026!$A:$AH""),34,0)+vlookup(A23,importrange(""https://docs.google.com/spreadsheets/d/1arpJoJSlKHkJ-Zn4sJxqp3okt8tUTIYCnkob2xnYiCU/edit?usp=sharing"",""Mar 2026!$A:$AH""),34,0)+vlookup(A23,importrange(""https://docs.goo"&amp;"gle.com/spreadsheets/d/1arpJoJSlKHkJ-Zn4sJxqp3okt8tUTIYCnkob2xnYiCU/edit?usp=sharing"",""Apr 2026!$A:$AH""),34,0)+vlookup(A23,importrange(""https://docs.google.com/spreadsheets/d/1arpJoJSlKHkJ-Zn4sJxqp3okt8tUTIYCnkob2xnYiCU/edit?usp=sharing"",""May 2026!$"&amp;"A:$AH""),34,0)+vlookup(A23,importrange(""https://docs.google.com/spreadsheets/d/1arpJoJSlKHkJ-Zn4sJxqp3okt8tUTIYCnkob2xnYiCU/edit?usp=sharing"",""June 2026!$A:$AH""),34,0)+vlookup(A23,importrange(""https://docs.google.com/spreadsheets/d/1arpJoJSlKHkJ-Zn4s"&amp;"Jxqp3okt8tUTIYCnkob2xnYiCU/edit?usp=sharing"",""Current Month!$A:$AH""),34,0)"),8.0)</f>
        <v>8</v>
      </c>
      <c r="C23" s="9">
        <f>IFERROR(__xludf.DUMMYFUNCTION("vlookup(A23,importrange(""https://docs.google.com/spreadsheets/d/1arpJoJSlKHkJ-Zn4sJxqp3okt8tUTIYCnkob2xnYiCU/edit?usp=sharing"",""Jan 2026!$A:$AI""),35,0)+vlookup(A23,importrange(""https://docs.google.com/spreadsheets/d/1arpJoJSlKHkJ-Zn4sJxqp3okt8tUTIYCn"&amp;"kob2xnYiCU/edit?usp=sharing"",""Feb 2026!$A:$AI""),35,0)+vlookup(A23,importrange(""https://docs.google.com/spreadsheets/d/1arpJoJSlKHkJ-Zn4sJxqp3okt8tUTIYCnkob2xnYiCU/edit?usp=sharing"",""Mar 2026!$A:$AI""),35,0)+vlookup(A23,importrange(""https://docs.goo"&amp;"gle.com/spreadsheets/d/1arpJoJSlKHkJ-Zn4sJxqp3okt8tUTIYCnkob2xnYiCU/edit?usp=sharing"",""Apr 2026!$A:$AI""),35,0)+vlookup(A23,importrange(""https://docs.google.com/spreadsheets/d/1arpJoJSlKHkJ-Zn4sJxqp3okt8tUTIYCnkob2xnYiCU/edit?usp=sharing"",""May 2026!$"&amp;"A:$AI""),35,0)+vlookup(A23,importrange(""https://docs.google.com/spreadsheets/d/1arpJoJSlKHkJ-Zn4sJxqp3okt8tUTIYCnkob2xnYiCU/edit?usp=sharing"",""June 2026!$A:$AI""),35,0)+vlookup(A23,importrange(""https://docs.google.com/spreadsheets/d/1arpJoJSlKHkJ-Zn4s"&amp;"Jxqp3okt8tUTIYCnkob2xnYiCU/edit?usp=sharing"",""Current Month!$A:$AI""),35,0)"),4.0)</f>
        <v>4</v>
      </c>
      <c r="D23" s="9">
        <f>IFERROR(__xludf.DUMMYFUNCTION("vlookup(A23,importrange(""https://docs.google.com/spreadsheets/d/1arpJoJSlKHkJ-Zn4sJxqp3okt8tUTIYCnkob2xnYiCU/edit?usp=sharing"",""Jan 2026!$A:$AJ""),36,0)+vlookup(A23,importrange(""https://docs.google.com/spreadsheets/d/1arpJoJSlKHkJ-Zn4sJxqp3okt8tUTIYCn"&amp;"kob2xnYiCU/edit?usp=sharing"",""Feb 2026!$A:$AJ""),36,0)+vlookup(A23,importrange(""https://docs.google.com/spreadsheets/d/1arpJoJSlKHkJ-Zn4sJxqp3okt8tUTIYCnkob2xnYiCU/edit?usp=sharing"",""Mar 2026!$A:$AJ""),36,0)+vlookup(A23,importrange(""https://docs.goo"&amp;"gle.com/spreadsheets/d/1arpJoJSlKHkJ-Zn4sJxqp3okt8tUTIYCnkob2xnYiCU/edit?usp=sharing"",""Apr 2026!$A:$AJ""),36,0)+vlookup(A23,importrange(""https://docs.google.com/spreadsheets/d/1arpJoJSlKHkJ-Zn4sJxqp3okt8tUTIYCnkob2xnYiCU/edit?usp=sharing"",""May 2026!$"&amp;"A:$AJ""),36,0)+vlookup(A23,importrange(""https://docs.google.com/spreadsheets/d/1arpJoJSlKHkJ-Zn4sJxqp3okt8tUTIYCnkob2xnYiCU/edit?usp=sharing"",""June 2026!$A:$AJ""),36,0)+vlookup(A23,importrange(""https://docs.google.com/spreadsheets/d/1arpJoJSlKHkJ-Zn4s"&amp;"Jxqp3okt8tUTIYCnkob2xnYiCU/edit?usp=sharing"",""Current Month!$A:$AJ""),36,0)"),0.0)</f>
        <v>0</v>
      </c>
      <c r="E23" s="9">
        <f>IFERROR(__xludf.DUMMYFUNCTION("vlookup(A23,importrange(""https://docs.google.com/spreadsheets/d/1arpJoJSlKHkJ-Zn4sJxqp3okt8tUTIYCnkob2xnYiCU/edit?usp=sharing"",""Jan 2026!$A:$AK""),37,0)+vlookup(A23,importrange(""https://docs.google.com/spreadsheets/d/1arpJoJSlKHkJ-Zn4sJxqp3okt8tUTIYCn"&amp;"kob2xnYiCU/edit?usp=sharing"",""Feb 2026!$A:$AK""),37,0)+vlookup(A23,importrange(""https://docs.google.com/spreadsheets/d/1arpJoJSlKHkJ-Zn4sJxqp3okt8tUTIYCnkob2xnYiCU/edit?usp=sharing"",""Mar 2026!$A:$AK""),37,0)+vlookup(A23,importrange(""https://docs.goo"&amp;"gle.com/spreadsheets/d/1arpJoJSlKHkJ-Zn4sJxqp3okt8tUTIYCnkob2xnYiCU/edit?usp=sharing"",""Apr 2026!$A:$AK""),37,0)+vlookup(A23,importrange(""https://docs.google.com/spreadsheets/d/1arpJoJSlKHkJ-Zn4sJxqp3okt8tUTIYCnkob2xnYiCU/edit?usp=sharing"",""May 2026!$"&amp;"A:$AK""),37,0)+vlookup(A23,importrange(""https://docs.google.com/spreadsheets/d/1arpJoJSlKHkJ-Zn4sJxqp3okt8tUTIYCnkob2xnYiCU/edit?usp=sharing"",""June 2026!$A:$AK""),37,0)+vlookup(A23,importrange(""https://docs.google.com/spreadsheets/d/1arpJoJSlKHkJ-Zn4s"&amp;"Jxqp3okt8tUTIYCnkob2xnYiCU/edit?usp=sharing"",""Current Month!$A:$AK""),37,0)"),0.0)</f>
        <v>0</v>
      </c>
      <c r="F23" s="9">
        <f t="shared" si="1"/>
        <v>4</v>
      </c>
      <c r="G23" s="9">
        <f>IFERROR(__xludf.DUMMYFUNCTION("vlookup(A23,importrange(""https://docs.google.com/spreadsheets/d/1arpJoJSlKHkJ-Zn4sJxqp3okt8tUTIYCnkob2xnYiCU/edit?usp=sharing"",""Jan 2026!$A:$AN""),40,0)+vlookup(A23,importrange(""https://docs.google.com/spreadsheets/d/1arpJoJSlKHkJ-Zn4sJxqp3okt8tUTIYCn"&amp;"kob2xnYiCU/edit?usp=sharing"",""Feb 2026!$A:$AN""),40,0)+vlookup(A23,importrange(""https://docs.google.com/spreadsheets/d/1arpJoJSlKHkJ-Zn4sJxqp3okt8tUTIYCnkob2xnYiCU/edit?usp=sharing"",""Mar 2026!$A:$AN""),40,0)+vlookup(A23,importrange(""https://docs.goo"&amp;"gle.com/spreadsheets/d/1arpJoJSlKHkJ-Zn4sJxqp3okt8tUTIYCnkob2xnYiCU/edit?usp=sharing"",""Apr 2026!$A:$AN""),40,0)+vlookup(A23,importrange(""https://docs.google.com/spreadsheets/d/1arpJoJSlKHkJ-Zn4sJxqp3okt8tUTIYCnkob2xnYiCU/edit?usp=sharing"",""May 2026!$"&amp;"A:$AN""),40,0)+vlookup(A23,importrange(""https://docs.google.com/spreadsheets/d/1arpJoJSlKHkJ-Zn4sJxqp3okt8tUTIYCnkob2xnYiCU/edit?usp=sharing"",""June 2026!$A:$AN""),40,0)+vlookup(A23,importrange(""https://docs.google.com/spreadsheets/d/1arpJoJSlKHkJ-Zn4s"&amp;"Jxqp3okt8tUTIYCnkob2xnYiCU/edit?usp=sharing"",""Current Month!$A:$AN""),40,0)"),0.0)</f>
        <v>0</v>
      </c>
      <c r="H23" s="9">
        <v>12.0</v>
      </c>
      <c r="I23" s="10">
        <f t="shared" si="2"/>
        <v>9</v>
      </c>
      <c r="J23" s="9">
        <f>IFERROR(__xludf.DUMMYFUNCTION("vlookup(A23,importrange(""https://docs.google.com/spreadsheets/d/1arpJoJSlKHkJ-Zn4sJxqp3okt8tUTIYCnkob2xnYiCU/edit?usp=sharing"",""Jan 2026!$A:$AP""),41,0)+vlookup(A23,importrange(""https://docs.google.com/spreadsheets/d/1arpJoJSlKHkJ-Zn4sJxqp3okt8tUTIYCn"&amp;"kob2xnYiCU/edit?usp=sharing"",""Feb 2026!$A:$AP""),41,0)+vlookup(A23,importrange(""https://docs.google.com/spreadsheets/d/1arpJoJSlKHkJ-Zn4sJxqp3okt8tUTIYCnkob2xnYiCU/edit?usp=sharing"",""Mar 2026!$A:$AP""),41,0)+vlookup(A23,importrange(""https://docs.goo"&amp;"gle.com/spreadsheets/d/1arpJoJSlKHkJ-Zn4sJxqp3okt8tUTIYCnkob2xnYiCU/edit?usp=sharing"",""Current Month!$A:$AP""),41,0)"),5.0)</f>
        <v>5</v>
      </c>
      <c r="K23" s="11">
        <f>IFERROR(__xludf.DUMMYFUNCTION("J23/((vlookup(A23,importrange(""https://docs.google.com/spreadsheets/d/1arpJoJSlKHkJ-Zn4sJxqp3okt8tUTIYCnkob2xnYiCU/edit?usp=sharing"",""Jan 2026!$A:$AG""),33,0))+(vlookup(A23,importrange(""https://docs.google.com/spreadsheets/d/1arpJoJSlKHkJ-Zn4sJxqp3okt"&amp;"8tUTIYCnkob2xnYiCU/edit?usp=sharing"",""Feb 2026!$A:$AG""),33,0))+(vlookup(A23,importrange(""https://docs.google.com/spreadsheets/d/1arpJoJSlKHkJ-Zn4sJxqp3okt8tUTIYCnkob2xnYiCU/edit?usp=sharing"",""Mar 2026!$A:$AG""),33,0))+(vlookup(A23,importrange(""http"&amp;"s://docs.google.com/spreadsheets/d/1arpJoJSlKHkJ-Zn4sJxqp3okt8tUTIYCnkob2xnYiCU/edit?usp=sharing"",""Apr 2026!$A:$AG""),33,0))+(vlookup(A23,importrange(""https://docs.google.com/spreadsheets/d/1arpJoJSlKHkJ-Zn4sJxqp3okt8tUTIYCnkob2xnYiCU/edit?usp=sharing"&amp;""",""Current Month!$A:$AG""),33,0)))"),0.056818181818181816)</f>
        <v>0.05681818182</v>
      </c>
      <c r="L23" s="9">
        <f>IFERROR(__xludf.DUMMYFUNCTION("vlookup(A23,importrange(""https://docs.google.com/spreadsheets/d/1arpJoJSlKHkJ-Zn4sJxqp3okt8tUTIYCnkob2xnYiCU/edit?usp=sharing"",""Current Month!$A:$AP""),42,0)+vlookup(A23,importrange(""https://docs.google.com/spreadsheets/d/1arpJoJSlKHkJ-Zn4sJxqp3okt8tU"&amp;"TIYCnkob2xnYiCU/edit?usp=sharing"",""Jan 2026!$A:$AP""),42,0)+vlookup(A23,importrange(""https://docs.google.com/spreadsheets/d/1arpJoJSlKHkJ-Zn4sJxqp3okt8tUTIYCnkob2xnYiCU/edit?usp=sharing"",""Feb 2026!$A:$AP""),42,0)+vlookup(A23,importrange(""https://doc"&amp;"s.google.com/spreadsheets/d/1arpJoJSlKHkJ-Zn4sJxqp3okt8tUTIYCnkob2xnYiCU/edit?usp=sharing"",""Mar 2026!$A:$AP""),42,0)+vlookup(A23,importrange(""https://docs.google.com/spreadsheets/d/1arpJoJSlKHkJ-Zn4sJxqp3okt8tUTIYCnkob2xnYiCU/edit?usp=sharing"",""Apr 2"&amp;"026!$A:$AP""),42,0)"),1.0)</f>
        <v>1</v>
      </c>
    </row>
    <row r="24" ht="15.75" customHeight="1">
      <c r="A24" s="8" t="s">
        <v>33</v>
      </c>
      <c r="B24" s="9">
        <f>IFERROR(__xludf.DUMMYFUNCTION("vlookup(A24,importrange(""https://docs.google.com/spreadsheets/d/1arpJoJSlKHkJ-Zn4sJxqp3okt8tUTIYCnkob2xnYiCU/edit?usp=sharing"",""Jan 2026!$A:$AH""),34,0)+vlookup(A24,importrange(""https://docs.google.com/spreadsheets/d/1arpJoJSlKHkJ-Zn4sJxqp3okt8tUTIYCn"&amp;"kob2xnYiCU/edit?usp=sharing"",""Feb 2026!$A:$AH""),34,0)+vlookup(A24,importrange(""https://docs.google.com/spreadsheets/d/1arpJoJSlKHkJ-Zn4sJxqp3okt8tUTIYCnkob2xnYiCU/edit?usp=sharing"",""Mar 2026!$A:$AH""),34,0)+vlookup(A24,importrange(""https://docs.goo"&amp;"gle.com/spreadsheets/d/1arpJoJSlKHkJ-Zn4sJxqp3okt8tUTIYCnkob2xnYiCU/edit?usp=sharing"",""Apr 2026!$A:$AH""),34,0)+vlookup(A24,importrange(""https://docs.google.com/spreadsheets/d/1arpJoJSlKHkJ-Zn4sJxqp3okt8tUTIYCnkob2xnYiCU/edit?usp=sharing"",""May 2026!$"&amp;"A:$AH""),34,0)+vlookup(A24,importrange(""https://docs.google.com/spreadsheets/d/1arpJoJSlKHkJ-Zn4sJxqp3okt8tUTIYCnkob2xnYiCU/edit?usp=sharing"",""June 2026!$A:$AH""),34,0)+vlookup(A24,importrange(""https://docs.google.com/spreadsheets/d/1arpJoJSlKHkJ-Zn4s"&amp;"Jxqp3okt8tUTIYCnkob2xnYiCU/edit?usp=sharing"",""Current Month!$A:$AH""),34,0)"),7.0)</f>
        <v>7</v>
      </c>
      <c r="C24" s="9">
        <f>IFERROR(__xludf.DUMMYFUNCTION("vlookup(A24,importrange(""https://docs.google.com/spreadsheets/d/1arpJoJSlKHkJ-Zn4sJxqp3okt8tUTIYCnkob2xnYiCU/edit?usp=sharing"",""Jan 2026!$A:$AI""),35,0)+vlookup(A24,importrange(""https://docs.google.com/spreadsheets/d/1arpJoJSlKHkJ-Zn4sJxqp3okt8tUTIYCn"&amp;"kob2xnYiCU/edit?usp=sharing"",""Feb 2026!$A:$AI""),35,0)+vlookup(A24,importrange(""https://docs.google.com/spreadsheets/d/1arpJoJSlKHkJ-Zn4sJxqp3okt8tUTIYCnkob2xnYiCU/edit?usp=sharing"",""Mar 2026!$A:$AI""),35,0)+vlookup(A24,importrange(""https://docs.goo"&amp;"gle.com/spreadsheets/d/1arpJoJSlKHkJ-Zn4sJxqp3okt8tUTIYCnkob2xnYiCU/edit?usp=sharing"",""Apr 2026!$A:$AI""),35,0)+vlookup(A24,importrange(""https://docs.google.com/spreadsheets/d/1arpJoJSlKHkJ-Zn4sJxqp3okt8tUTIYCnkob2xnYiCU/edit?usp=sharing"",""May 2026!$"&amp;"A:$AI""),35,0)+vlookup(A24,importrange(""https://docs.google.com/spreadsheets/d/1arpJoJSlKHkJ-Zn4sJxqp3okt8tUTIYCnkob2xnYiCU/edit?usp=sharing"",""June 2026!$A:$AI""),35,0)+vlookup(A24,importrange(""https://docs.google.com/spreadsheets/d/1arpJoJSlKHkJ-Zn4s"&amp;"Jxqp3okt8tUTIYCnkob2xnYiCU/edit?usp=sharing"",""Current Month!$A:$AI""),35,0)"),5.0)</f>
        <v>5</v>
      </c>
      <c r="D24" s="9">
        <f>IFERROR(__xludf.DUMMYFUNCTION("vlookup(A24,importrange(""https://docs.google.com/spreadsheets/d/1arpJoJSlKHkJ-Zn4sJxqp3okt8tUTIYCnkob2xnYiCU/edit?usp=sharing"",""Jan 2026!$A:$AJ""),36,0)+vlookup(A24,importrange(""https://docs.google.com/spreadsheets/d/1arpJoJSlKHkJ-Zn4sJxqp3okt8tUTIYCn"&amp;"kob2xnYiCU/edit?usp=sharing"",""Feb 2026!$A:$AJ""),36,0)+vlookup(A24,importrange(""https://docs.google.com/spreadsheets/d/1arpJoJSlKHkJ-Zn4sJxqp3okt8tUTIYCnkob2xnYiCU/edit?usp=sharing"",""Mar 2026!$A:$AJ""),36,0)+vlookup(A24,importrange(""https://docs.goo"&amp;"gle.com/spreadsheets/d/1arpJoJSlKHkJ-Zn4sJxqp3okt8tUTIYCnkob2xnYiCU/edit?usp=sharing"",""Apr 2026!$A:$AJ""),36,0)+vlookup(A24,importrange(""https://docs.google.com/spreadsheets/d/1arpJoJSlKHkJ-Zn4sJxqp3okt8tUTIYCnkob2xnYiCU/edit?usp=sharing"",""May 2026!$"&amp;"A:$AJ""),36,0)+vlookup(A24,importrange(""https://docs.google.com/spreadsheets/d/1arpJoJSlKHkJ-Zn4sJxqp3okt8tUTIYCnkob2xnYiCU/edit?usp=sharing"",""June 2026!$A:$AJ""),36,0)+vlookup(A24,importrange(""https://docs.google.com/spreadsheets/d/1arpJoJSlKHkJ-Zn4s"&amp;"Jxqp3okt8tUTIYCnkob2xnYiCU/edit?usp=sharing"",""Current Month!$A:$AJ""),36,0)"),0.0)</f>
        <v>0</v>
      </c>
      <c r="E24" s="9">
        <f>IFERROR(__xludf.DUMMYFUNCTION("vlookup(A24,importrange(""https://docs.google.com/spreadsheets/d/1arpJoJSlKHkJ-Zn4sJxqp3okt8tUTIYCnkob2xnYiCU/edit?usp=sharing"",""Jan 2026!$A:$AK""),37,0)+vlookup(A24,importrange(""https://docs.google.com/spreadsheets/d/1arpJoJSlKHkJ-Zn4sJxqp3okt8tUTIYCn"&amp;"kob2xnYiCU/edit?usp=sharing"",""Feb 2026!$A:$AK""),37,0)+vlookup(A24,importrange(""https://docs.google.com/spreadsheets/d/1arpJoJSlKHkJ-Zn4sJxqp3okt8tUTIYCnkob2xnYiCU/edit?usp=sharing"",""Mar 2026!$A:$AK""),37,0)+vlookup(A24,importrange(""https://docs.goo"&amp;"gle.com/spreadsheets/d/1arpJoJSlKHkJ-Zn4sJxqp3okt8tUTIYCnkob2xnYiCU/edit?usp=sharing"",""Apr 2026!$A:$AK""),37,0)+vlookup(A24,importrange(""https://docs.google.com/spreadsheets/d/1arpJoJSlKHkJ-Zn4sJxqp3okt8tUTIYCnkob2xnYiCU/edit?usp=sharing"",""May 2026!$"&amp;"A:$AK""),37,0)+vlookup(A24,importrange(""https://docs.google.com/spreadsheets/d/1arpJoJSlKHkJ-Zn4sJxqp3okt8tUTIYCnkob2xnYiCU/edit?usp=sharing"",""June 2026!$A:$AK""),37,0)+vlookup(A24,importrange(""https://docs.google.com/spreadsheets/d/1arpJoJSlKHkJ-Zn4s"&amp;"Jxqp3okt8tUTIYCnkob2xnYiCU/edit?usp=sharing"",""Current Month!$A:$AK""),37,0)"),0.0)</f>
        <v>0</v>
      </c>
      <c r="F24" s="9">
        <f t="shared" si="1"/>
        <v>2</v>
      </c>
      <c r="G24" s="9">
        <f>IFERROR(__xludf.DUMMYFUNCTION("vlookup(A24,importrange(""https://docs.google.com/spreadsheets/d/1arpJoJSlKHkJ-Zn4sJxqp3okt8tUTIYCnkob2xnYiCU/edit?usp=sharing"",""Jan 2026!$A:$AN""),40,0)+vlookup(A24,importrange(""https://docs.google.com/spreadsheets/d/1arpJoJSlKHkJ-Zn4sJxqp3okt8tUTIYCn"&amp;"kob2xnYiCU/edit?usp=sharing"",""Feb 2026!$A:$AN""),40,0)+vlookup(A24,importrange(""https://docs.google.com/spreadsheets/d/1arpJoJSlKHkJ-Zn4sJxqp3okt8tUTIYCnkob2xnYiCU/edit?usp=sharing"",""Mar 2026!$A:$AN""),40,0)+vlookup(A24,importrange(""https://docs.goo"&amp;"gle.com/spreadsheets/d/1arpJoJSlKHkJ-Zn4sJxqp3okt8tUTIYCnkob2xnYiCU/edit?usp=sharing"",""Apr 2026!$A:$AN""),40,0)+vlookup(A24,importrange(""https://docs.google.com/spreadsheets/d/1arpJoJSlKHkJ-Zn4sJxqp3okt8tUTIYCnkob2xnYiCU/edit?usp=sharing"",""May 2026!$"&amp;"A:$AN""),40,0)+vlookup(A24,importrange(""https://docs.google.com/spreadsheets/d/1arpJoJSlKHkJ-Zn4sJxqp3okt8tUTIYCnkob2xnYiCU/edit?usp=sharing"",""June 2026!$A:$AN""),40,0)+vlookup(A24,importrange(""https://docs.google.com/spreadsheets/d/1arpJoJSlKHkJ-Zn4s"&amp;"Jxqp3okt8tUTIYCnkob2xnYiCU/edit?usp=sharing"",""Current Month!$A:$AN""),40,0)"),2.0)</f>
        <v>2</v>
      </c>
      <c r="H24" s="9">
        <v>12.0</v>
      </c>
      <c r="I24" s="10">
        <f t="shared" si="2"/>
        <v>9</v>
      </c>
      <c r="J24" s="9">
        <f>IFERROR(__xludf.DUMMYFUNCTION("vlookup(A24,importrange(""https://docs.google.com/spreadsheets/d/1arpJoJSlKHkJ-Zn4sJxqp3okt8tUTIYCnkob2xnYiCU/edit?usp=sharing"",""Jan 2026!$A:$AP""),41,0)+vlookup(A24,importrange(""https://docs.google.com/spreadsheets/d/1arpJoJSlKHkJ-Zn4sJxqp3okt8tUTIYCn"&amp;"kob2xnYiCU/edit?usp=sharing"",""Feb 2026!$A:$AP""),41,0)+vlookup(A24,importrange(""https://docs.google.com/spreadsheets/d/1arpJoJSlKHkJ-Zn4sJxqp3okt8tUTIYCnkob2xnYiCU/edit?usp=sharing"",""Mar 2026!$A:$AP""),41,0)+vlookup(A24,importrange(""https://docs.goo"&amp;"gle.com/spreadsheets/d/1arpJoJSlKHkJ-Zn4sJxqp3okt8tUTIYCnkob2xnYiCU/edit?usp=sharing"",""Current Month!$A:$AP""),41,0)"),1.0)</f>
        <v>1</v>
      </c>
      <c r="K24" s="11">
        <f>IFERROR(__xludf.DUMMYFUNCTION("J24/((vlookup(A24,importrange(""https://docs.google.com/spreadsheets/d/1arpJoJSlKHkJ-Zn4sJxqp3okt8tUTIYCnkob2xnYiCU/edit?usp=sharing"",""Jan 2026!$A:$AG""),33,0))+(vlookup(A24,importrange(""https://docs.google.com/spreadsheets/d/1arpJoJSlKHkJ-Zn4sJxqp3okt"&amp;"8tUTIYCnkob2xnYiCU/edit?usp=sharing"",""Feb 2026!$A:$AG""),33,0))+(vlookup(A24,importrange(""https://docs.google.com/spreadsheets/d/1arpJoJSlKHkJ-Zn4sJxqp3okt8tUTIYCnkob2xnYiCU/edit?usp=sharing"",""Mar 2026!$A:$AG""),33,0))+(vlookup(A24,importrange(""http"&amp;"s://docs.google.com/spreadsheets/d/1arpJoJSlKHkJ-Zn4sJxqp3okt8tUTIYCnkob2xnYiCU/edit?usp=sharing"",""Apr 2026!$A:$AG""),33,0))+(vlookup(A24,importrange(""https://docs.google.com/spreadsheets/d/1arpJoJSlKHkJ-Zn4sJxqp3okt8tUTIYCnkob2xnYiCU/edit?usp=sharing"&amp;""",""Current Month!$A:$AG""),33,0)))"),0.011363636363636364)</f>
        <v>0.01136363636</v>
      </c>
      <c r="L24" s="9">
        <f>IFERROR(__xludf.DUMMYFUNCTION("vlookup(A24,importrange(""https://docs.google.com/spreadsheets/d/1arpJoJSlKHkJ-Zn4sJxqp3okt8tUTIYCnkob2xnYiCU/edit?usp=sharing"",""Current Month!$A:$AP""),42,0)+vlookup(A24,importrange(""https://docs.google.com/spreadsheets/d/1arpJoJSlKHkJ-Zn4sJxqp3okt8tU"&amp;"TIYCnkob2xnYiCU/edit?usp=sharing"",""Jan 2026!$A:$AP""),42,0)+vlookup(A24,importrange(""https://docs.google.com/spreadsheets/d/1arpJoJSlKHkJ-Zn4sJxqp3okt8tUTIYCnkob2xnYiCU/edit?usp=sharing"",""Feb 2026!$A:$AP""),42,0)+vlookup(A24,importrange(""https://doc"&amp;"s.google.com/spreadsheets/d/1arpJoJSlKHkJ-Zn4sJxqp3okt8tUTIYCnkob2xnYiCU/edit?usp=sharing"",""Mar 2026!$A:$AP""),42,0)+vlookup(A24,importrange(""https://docs.google.com/spreadsheets/d/1arpJoJSlKHkJ-Zn4sJxqp3okt8tUTIYCnkob2xnYiCU/edit?usp=sharing"",""Apr 2"&amp;"026!$A:$AP""),42,0)"),5.0)</f>
        <v>5</v>
      </c>
    </row>
    <row r="25" ht="15.75" customHeight="1">
      <c r="A25" s="12" t="s">
        <v>34</v>
      </c>
      <c r="B25" s="9">
        <f>IFERROR(__xludf.DUMMYFUNCTION("vlookup(A25,importrange(""https://docs.google.com/spreadsheets/d/1arpJoJSlKHkJ-Zn4sJxqp3okt8tUTIYCnkob2xnYiCU/edit?usp=sharing"",""Jan 2026!$A:$AH""),34,0)+vlookup(A25,importrange(""https://docs.google.com/spreadsheets/d/1arpJoJSlKHkJ-Zn4sJxqp3okt8tUTIYCn"&amp;"kob2xnYiCU/edit?usp=sharing"",""Feb 2026!$A:$AH""),34,0)+vlookup(A25,importrange(""https://docs.google.com/spreadsheets/d/1arpJoJSlKHkJ-Zn4sJxqp3okt8tUTIYCnkob2xnYiCU/edit?usp=sharing"",""Mar 2026!$A:$AH""),34,0)+vlookup(A25,importrange(""https://docs.goo"&amp;"gle.com/spreadsheets/d/1arpJoJSlKHkJ-Zn4sJxqp3okt8tUTIYCnkob2xnYiCU/edit?usp=sharing"",""Apr 2026!$A:$AH""),34,0)+vlookup(A25,importrange(""https://docs.google.com/spreadsheets/d/1arpJoJSlKHkJ-Zn4sJxqp3okt8tUTIYCnkob2xnYiCU/edit?usp=sharing"",""May 2026!$"&amp;"A:$AH""),34,0)+vlookup(A25,importrange(""https://docs.google.com/spreadsheets/d/1arpJoJSlKHkJ-Zn4sJxqp3okt8tUTIYCnkob2xnYiCU/edit?usp=sharing"",""June 2026!$A:$AH""),34,0)+vlookup(A25,importrange(""https://docs.google.com/spreadsheets/d/1arpJoJSlKHkJ-Zn4s"&amp;"Jxqp3okt8tUTIYCnkob2xnYiCU/edit?usp=sharing"",""Current Month!$A:$AH""),34,0)"),9.0)</f>
        <v>9</v>
      </c>
      <c r="C25" s="9">
        <f>IFERROR(__xludf.DUMMYFUNCTION("vlookup(A25,importrange(""https://docs.google.com/spreadsheets/d/1arpJoJSlKHkJ-Zn4sJxqp3okt8tUTIYCnkob2xnYiCU/edit?usp=sharing"",""Jan 2026!$A:$AI""),35,0)+vlookup(A25,importrange(""https://docs.google.com/spreadsheets/d/1arpJoJSlKHkJ-Zn4sJxqp3okt8tUTIYCn"&amp;"kob2xnYiCU/edit?usp=sharing"",""Feb 2026!$A:$AI""),35,0)+vlookup(A25,importrange(""https://docs.google.com/spreadsheets/d/1arpJoJSlKHkJ-Zn4sJxqp3okt8tUTIYCnkob2xnYiCU/edit?usp=sharing"",""Mar 2026!$A:$AI""),35,0)+vlookup(A25,importrange(""https://docs.goo"&amp;"gle.com/spreadsheets/d/1arpJoJSlKHkJ-Zn4sJxqp3okt8tUTIYCnkob2xnYiCU/edit?usp=sharing"",""Apr 2026!$A:$AI""),35,0)+vlookup(A25,importrange(""https://docs.google.com/spreadsheets/d/1arpJoJSlKHkJ-Zn4sJxqp3okt8tUTIYCnkob2xnYiCU/edit?usp=sharing"",""May 2026!$"&amp;"A:$AI""),35,0)+vlookup(A25,importrange(""https://docs.google.com/spreadsheets/d/1arpJoJSlKHkJ-Zn4sJxqp3okt8tUTIYCnkob2xnYiCU/edit?usp=sharing"",""June 2026!$A:$AI""),35,0)+vlookup(A25,importrange(""https://docs.google.com/spreadsheets/d/1arpJoJSlKHkJ-Zn4s"&amp;"Jxqp3okt8tUTIYCnkob2xnYiCU/edit?usp=sharing"",""Current Month!$A:$AI""),35,0)"),10.0)</f>
        <v>10</v>
      </c>
      <c r="D25" s="9">
        <f>IFERROR(__xludf.DUMMYFUNCTION("vlookup(A25,importrange(""https://docs.google.com/spreadsheets/d/1arpJoJSlKHkJ-Zn4sJxqp3okt8tUTIYCnkob2xnYiCU/edit?usp=sharing"",""Jan 2026!$A:$AJ""),36,0)+vlookup(A25,importrange(""https://docs.google.com/spreadsheets/d/1arpJoJSlKHkJ-Zn4sJxqp3okt8tUTIYCn"&amp;"kob2xnYiCU/edit?usp=sharing"",""Feb 2026!$A:$AJ""),36,0)+vlookup(A25,importrange(""https://docs.google.com/spreadsheets/d/1arpJoJSlKHkJ-Zn4sJxqp3okt8tUTIYCnkob2xnYiCU/edit?usp=sharing"",""Mar 2026!$A:$AJ""),36,0)+vlookup(A25,importrange(""https://docs.goo"&amp;"gle.com/spreadsheets/d/1arpJoJSlKHkJ-Zn4sJxqp3okt8tUTIYCnkob2xnYiCU/edit?usp=sharing"",""Apr 2026!$A:$AJ""),36,0)+vlookup(A25,importrange(""https://docs.google.com/spreadsheets/d/1arpJoJSlKHkJ-Zn4sJxqp3okt8tUTIYCnkob2xnYiCU/edit?usp=sharing"",""May 2026!$"&amp;"A:$AJ""),36,0)+vlookup(A25,importrange(""https://docs.google.com/spreadsheets/d/1arpJoJSlKHkJ-Zn4sJxqp3okt8tUTIYCnkob2xnYiCU/edit?usp=sharing"",""June 2026!$A:$AJ""),36,0)+vlookup(A25,importrange(""https://docs.google.com/spreadsheets/d/1arpJoJSlKHkJ-Zn4s"&amp;"Jxqp3okt8tUTIYCnkob2xnYiCU/edit?usp=sharing"",""Current Month!$A:$AJ""),36,0)"),0.0)</f>
        <v>0</v>
      </c>
      <c r="E25" s="9">
        <f>IFERROR(__xludf.DUMMYFUNCTION("vlookup(A25,importrange(""https://docs.google.com/spreadsheets/d/1arpJoJSlKHkJ-Zn4sJxqp3okt8tUTIYCnkob2xnYiCU/edit?usp=sharing"",""Jan 2026!$A:$AK""),37,0)+vlookup(A25,importrange(""https://docs.google.com/spreadsheets/d/1arpJoJSlKHkJ-Zn4sJxqp3okt8tUTIYCn"&amp;"kob2xnYiCU/edit?usp=sharing"",""Feb 2026!$A:$AK""),37,0)+vlookup(A25,importrange(""https://docs.google.com/spreadsheets/d/1arpJoJSlKHkJ-Zn4sJxqp3okt8tUTIYCnkob2xnYiCU/edit?usp=sharing"",""Mar 2026!$A:$AK""),37,0)+vlookup(A25,importrange(""https://docs.goo"&amp;"gle.com/spreadsheets/d/1arpJoJSlKHkJ-Zn4sJxqp3okt8tUTIYCnkob2xnYiCU/edit?usp=sharing"",""Apr 2026!$A:$AK""),37,0)+vlookup(A25,importrange(""https://docs.google.com/spreadsheets/d/1arpJoJSlKHkJ-Zn4sJxqp3okt8tUTIYCnkob2xnYiCU/edit?usp=sharing"",""May 2026!$"&amp;"A:$AK""),37,0)+vlookup(A25,importrange(""https://docs.google.com/spreadsheets/d/1arpJoJSlKHkJ-Zn4sJxqp3okt8tUTIYCnkob2xnYiCU/edit?usp=sharing"",""June 2026!$A:$AK""),37,0)+vlookup(A25,importrange(""https://docs.google.com/spreadsheets/d/1arpJoJSlKHkJ-Zn4s"&amp;"Jxqp3okt8tUTIYCnkob2xnYiCU/edit?usp=sharing"",""Current Month!$A:$AK""),37,0)"),0.0)</f>
        <v>0</v>
      </c>
      <c r="F25" s="9">
        <f t="shared" si="1"/>
        <v>1</v>
      </c>
      <c r="G25" s="9">
        <f>IFERROR(__xludf.DUMMYFUNCTION("vlookup(A25,importrange(""https://docs.google.com/spreadsheets/d/1arpJoJSlKHkJ-Zn4sJxqp3okt8tUTIYCnkob2xnYiCU/edit?usp=sharing"",""Jan 2026!$A:$AN""),40,0)+vlookup(A25,importrange(""https://docs.google.com/spreadsheets/d/1arpJoJSlKHkJ-Zn4sJxqp3okt8tUTIYCn"&amp;"kob2xnYiCU/edit?usp=sharing"",""Feb 2026!$A:$AN""),40,0)+vlookup(A25,importrange(""https://docs.google.com/spreadsheets/d/1arpJoJSlKHkJ-Zn4sJxqp3okt8tUTIYCnkob2xnYiCU/edit?usp=sharing"",""Mar 2026!$A:$AN""),40,0)+vlookup(A25,importrange(""https://docs.goo"&amp;"gle.com/spreadsheets/d/1arpJoJSlKHkJ-Zn4sJxqp3okt8tUTIYCnkob2xnYiCU/edit?usp=sharing"",""Apr 2026!$A:$AN""),40,0)+vlookup(A25,importrange(""https://docs.google.com/spreadsheets/d/1arpJoJSlKHkJ-Zn4sJxqp3okt8tUTIYCnkob2xnYiCU/edit?usp=sharing"",""May 2026!$"&amp;"A:$AN""),40,0)+vlookup(A25,importrange(""https://docs.google.com/spreadsheets/d/1arpJoJSlKHkJ-Zn4sJxqp3okt8tUTIYCnkob2xnYiCU/edit?usp=sharing"",""June 2026!$A:$AN""),40,0)+vlookup(A25,importrange(""https://docs.google.com/spreadsheets/d/1arpJoJSlKHkJ-Zn4s"&amp;"Jxqp3okt8tUTIYCnkob2xnYiCU/edit?usp=sharing"",""Current Month!$A:$AN""),40,0)"),3.0)</f>
        <v>3</v>
      </c>
      <c r="H25" s="9">
        <v>12.0</v>
      </c>
      <c r="I25" s="10">
        <f t="shared" si="2"/>
        <v>2</v>
      </c>
      <c r="J25" s="9">
        <f>IFERROR(__xludf.DUMMYFUNCTION("vlookup(A25,importrange(""https://docs.google.com/spreadsheets/d/1arpJoJSlKHkJ-Zn4sJxqp3okt8tUTIYCnkob2xnYiCU/edit?usp=sharing"",""Jan 2026!$A:$AP""),41,0)+vlookup(A25,importrange(""https://docs.google.com/spreadsheets/d/1arpJoJSlKHkJ-Zn4sJxqp3okt8tUTIYCn"&amp;"kob2xnYiCU/edit?usp=sharing"",""Feb 2026!$A:$AP""),41,0)+vlookup(A25,importrange(""https://docs.google.com/spreadsheets/d/1arpJoJSlKHkJ-Zn4sJxqp3okt8tUTIYCnkob2xnYiCU/edit?usp=sharing"",""Mar 2026!$A:$AP""),41,0)+vlookup(A25,importrange(""https://docs.goo"&amp;"gle.com/spreadsheets/d/1arpJoJSlKHkJ-Zn4sJxqp3okt8tUTIYCnkob2xnYiCU/edit?usp=sharing"",""Current Month!$A:$AP""),41,0)"),17.0)</f>
        <v>17</v>
      </c>
      <c r="K25" s="11">
        <f>IFERROR(__xludf.DUMMYFUNCTION("J25/((vlookup(A25,importrange(""https://docs.google.com/spreadsheets/d/1arpJoJSlKHkJ-Zn4sJxqp3okt8tUTIYCnkob2xnYiCU/edit?usp=sharing"",""Jan 2026!$A:$AG""),33,0))+(vlookup(A25,importrange(""https://docs.google.com/spreadsheets/d/1arpJoJSlKHkJ-Zn4sJxqp3okt"&amp;"8tUTIYCnkob2xnYiCU/edit?usp=sharing"",""Feb 2026!$A:$AG""),33,0))+(vlookup(A25,importrange(""https://docs.google.com/spreadsheets/d/1arpJoJSlKHkJ-Zn4sJxqp3okt8tUTIYCnkob2xnYiCU/edit?usp=sharing"",""Mar 2026!$A:$AG""),33,0))+(vlookup(A25,importrange(""http"&amp;"s://docs.google.com/spreadsheets/d/1arpJoJSlKHkJ-Zn4sJxqp3okt8tUTIYCnkob2xnYiCU/edit?usp=sharing"",""Apr 2026!$A:$AG""),33,0))+(vlookup(A25,importrange(""https://docs.google.com/spreadsheets/d/1arpJoJSlKHkJ-Zn4sJxqp3okt8tUTIYCnkob2xnYiCU/edit?usp=sharing"&amp;""",""Current Month!$A:$AG""),33,0)))"),0.19540229885057472)</f>
        <v>0.1954022989</v>
      </c>
      <c r="L25" s="9">
        <f>IFERROR(__xludf.DUMMYFUNCTION("vlookup(A25,importrange(""https://docs.google.com/spreadsheets/d/1arpJoJSlKHkJ-Zn4sJxqp3okt8tUTIYCnkob2xnYiCU/edit?usp=sharing"",""Current Month!$A:$AP""),42,0)+vlookup(A25,importrange(""https://docs.google.com/spreadsheets/d/1arpJoJSlKHkJ-Zn4sJxqp3okt8tU"&amp;"TIYCnkob2xnYiCU/edit?usp=sharing"",""Jan 2026!$A:$AP""),42,0)+vlookup(A25,importrange(""https://docs.google.com/spreadsheets/d/1arpJoJSlKHkJ-Zn4sJxqp3okt8tUTIYCnkob2xnYiCU/edit?usp=sharing"",""Feb 2026!$A:$AP""),42,0)+vlookup(A25,importrange(""https://doc"&amp;"s.google.com/spreadsheets/d/1arpJoJSlKHkJ-Zn4sJxqp3okt8tUTIYCnkob2xnYiCU/edit?usp=sharing"",""Mar 2026!$A:$AP""),42,0)+vlookup(A25,importrange(""https://docs.google.com/spreadsheets/d/1arpJoJSlKHkJ-Zn4sJxqp3okt8tUTIYCnkob2xnYiCU/edit?usp=sharing"",""Apr 2"&amp;"026!$A:$AP""),42,0)"),3.0)</f>
        <v>3</v>
      </c>
    </row>
    <row r="26" ht="15.75" customHeight="1">
      <c r="A26" s="8" t="s">
        <v>35</v>
      </c>
      <c r="B26" s="9">
        <f>IFERROR(__xludf.DUMMYFUNCTION("vlookup(A26,importrange(""https://docs.google.com/spreadsheets/d/1arpJoJSlKHkJ-Zn4sJxqp3okt8tUTIYCnkob2xnYiCU/edit?usp=sharing"",""Jan 2026!$A:$AH""),34,0)+vlookup(A26,importrange(""https://docs.google.com/spreadsheets/d/1arpJoJSlKHkJ-Zn4sJxqp3okt8tUTIYCn"&amp;"kob2xnYiCU/edit?usp=sharing"",""Feb 2026!$A:$AH""),34,0)+vlookup(A26,importrange(""https://docs.google.com/spreadsheets/d/1arpJoJSlKHkJ-Zn4sJxqp3okt8tUTIYCnkob2xnYiCU/edit?usp=sharing"",""Mar 2026!$A:$AH""),34,0)+vlookup(A26,importrange(""https://docs.goo"&amp;"gle.com/spreadsheets/d/1arpJoJSlKHkJ-Zn4sJxqp3okt8tUTIYCnkob2xnYiCU/edit?usp=sharing"",""Apr 2026!$A:$AH""),34,0)+vlookup(A26,importrange(""https://docs.google.com/spreadsheets/d/1arpJoJSlKHkJ-Zn4sJxqp3okt8tUTIYCnkob2xnYiCU/edit?usp=sharing"",""May 2026!$"&amp;"A:$AH""),34,0)+vlookup(A26,importrange(""https://docs.google.com/spreadsheets/d/1arpJoJSlKHkJ-Zn4sJxqp3okt8tUTIYCnkob2xnYiCU/edit?usp=sharing"",""June 2026!$A:$AH""),34,0)+vlookup(A26,importrange(""https://docs.google.com/spreadsheets/d/1arpJoJSlKHkJ-Zn4s"&amp;"Jxqp3okt8tUTIYCnkob2xnYiCU/edit?usp=sharing"",""Current Month!$A:$AH""),34,0)"),4.0)</f>
        <v>4</v>
      </c>
      <c r="C26" s="9">
        <f>IFERROR(__xludf.DUMMYFUNCTION("vlookup(A26,importrange(""https://docs.google.com/spreadsheets/d/1arpJoJSlKHkJ-Zn4sJxqp3okt8tUTIYCnkob2xnYiCU/edit?usp=sharing"",""Jan 2026!$A:$AI""),35,0)+vlookup(A26,importrange(""https://docs.google.com/spreadsheets/d/1arpJoJSlKHkJ-Zn4sJxqp3okt8tUTIYCn"&amp;"kob2xnYiCU/edit?usp=sharing"",""Feb 2026!$A:$AI""),35,0)+vlookup(A26,importrange(""https://docs.google.com/spreadsheets/d/1arpJoJSlKHkJ-Zn4sJxqp3okt8tUTIYCnkob2xnYiCU/edit?usp=sharing"",""Mar 2026!$A:$AI""),35,0)+vlookup(A26,importrange(""https://docs.goo"&amp;"gle.com/spreadsheets/d/1arpJoJSlKHkJ-Zn4sJxqp3okt8tUTIYCnkob2xnYiCU/edit?usp=sharing"",""Apr 2026!$A:$AI""),35,0)+vlookup(A26,importrange(""https://docs.google.com/spreadsheets/d/1arpJoJSlKHkJ-Zn4sJxqp3okt8tUTIYCnkob2xnYiCU/edit?usp=sharing"",""May 2026!$"&amp;"A:$AI""),35,0)+vlookup(A26,importrange(""https://docs.google.com/spreadsheets/d/1arpJoJSlKHkJ-Zn4sJxqp3okt8tUTIYCnkob2xnYiCU/edit?usp=sharing"",""June 2026!$A:$AI""),35,0)+vlookup(A26,importrange(""https://docs.google.com/spreadsheets/d/1arpJoJSlKHkJ-Zn4s"&amp;"Jxqp3okt8tUTIYCnkob2xnYiCU/edit?usp=sharing"",""Current Month!$A:$AI""),35,0)"),7.5)</f>
        <v>7.5</v>
      </c>
      <c r="D26" s="9">
        <f>IFERROR(__xludf.DUMMYFUNCTION("vlookup(A26,importrange(""https://docs.google.com/spreadsheets/d/1arpJoJSlKHkJ-Zn4sJxqp3okt8tUTIYCnkob2xnYiCU/edit?usp=sharing"",""Jan 2026!$A:$AJ""),36,0)+vlookup(A26,importrange(""https://docs.google.com/spreadsheets/d/1arpJoJSlKHkJ-Zn4sJxqp3okt8tUTIYCn"&amp;"kob2xnYiCU/edit?usp=sharing"",""Feb 2026!$A:$AJ""),36,0)+vlookup(A26,importrange(""https://docs.google.com/spreadsheets/d/1arpJoJSlKHkJ-Zn4sJxqp3okt8tUTIYCnkob2xnYiCU/edit?usp=sharing"",""Mar 2026!$A:$AJ""),36,0)+vlookup(A26,importrange(""https://docs.goo"&amp;"gle.com/spreadsheets/d/1arpJoJSlKHkJ-Zn4sJxqp3okt8tUTIYCnkob2xnYiCU/edit?usp=sharing"",""Apr 2026!$A:$AJ""),36,0)+vlookup(A26,importrange(""https://docs.google.com/spreadsheets/d/1arpJoJSlKHkJ-Zn4sJxqp3okt8tUTIYCnkob2xnYiCU/edit?usp=sharing"",""May 2026!$"&amp;"A:$AJ""),36,0)+vlookup(A26,importrange(""https://docs.google.com/spreadsheets/d/1arpJoJSlKHkJ-Zn4sJxqp3okt8tUTIYCnkob2xnYiCU/edit?usp=sharing"",""June 2026!$A:$AJ""),36,0)+vlookup(A26,importrange(""https://docs.google.com/spreadsheets/d/1arpJoJSlKHkJ-Zn4s"&amp;"Jxqp3okt8tUTIYCnkob2xnYiCU/edit?usp=sharing"",""Current Month!$A:$AJ""),36,0)"),0.0)</f>
        <v>0</v>
      </c>
      <c r="E26" s="9">
        <f>IFERROR(__xludf.DUMMYFUNCTION("vlookup(A26,importrange(""https://docs.google.com/spreadsheets/d/1arpJoJSlKHkJ-Zn4sJxqp3okt8tUTIYCnkob2xnYiCU/edit?usp=sharing"",""Jan 2026!$A:$AK""),37,0)+vlookup(A26,importrange(""https://docs.google.com/spreadsheets/d/1arpJoJSlKHkJ-Zn4sJxqp3okt8tUTIYCn"&amp;"kob2xnYiCU/edit?usp=sharing"",""Feb 2026!$A:$AK""),37,0)+vlookup(A26,importrange(""https://docs.google.com/spreadsheets/d/1arpJoJSlKHkJ-Zn4sJxqp3okt8tUTIYCnkob2xnYiCU/edit?usp=sharing"",""Mar 2026!$A:$AK""),37,0)+vlookup(A26,importrange(""https://docs.goo"&amp;"gle.com/spreadsheets/d/1arpJoJSlKHkJ-Zn4sJxqp3okt8tUTIYCnkob2xnYiCU/edit?usp=sharing"",""Apr 2026!$A:$AK""),37,0)+vlookup(A26,importrange(""https://docs.google.com/spreadsheets/d/1arpJoJSlKHkJ-Zn4sJxqp3okt8tUTIYCnkob2xnYiCU/edit?usp=sharing"",""May 2026!$"&amp;"A:$AK""),37,0)+vlookup(A26,importrange(""https://docs.google.com/spreadsheets/d/1arpJoJSlKHkJ-Zn4sJxqp3okt8tUTIYCnkob2xnYiCU/edit?usp=sharing"",""June 2026!$A:$AK""),37,0)+vlookup(A26,importrange(""https://docs.google.com/spreadsheets/d/1arpJoJSlKHkJ-Zn4s"&amp;"Jxqp3okt8tUTIYCnkob2xnYiCU/edit?usp=sharing"",""Current Month!$A:$AK""),37,0)"),0.0)</f>
        <v>0</v>
      </c>
      <c r="F26" s="9">
        <f t="shared" si="1"/>
        <v>4</v>
      </c>
      <c r="G26" s="9">
        <f>IFERROR(__xludf.DUMMYFUNCTION("vlookup(A26,importrange(""https://docs.google.com/spreadsheets/d/1arpJoJSlKHkJ-Zn4sJxqp3okt8tUTIYCnkob2xnYiCU/edit?usp=sharing"",""Jan 2026!$A:$AN""),40,0)+vlookup(A26,importrange(""https://docs.google.com/spreadsheets/d/1arpJoJSlKHkJ-Zn4sJxqp3okt8tUTIYCn"&amp;"kob2xnYiCU/edit?usp=sharing"",""Feb 2026!$A:$AN""),40,0)+vlookup(A26,importrange(""https://docs.google.com/spreadsheets/d/1arpJoJSlKHkJ-Zn4sJxqp3okt8tUTIYCnkob2xnYiCU/edit?usp=sharing"",""Mar 2026!$A:$AN""),40,0)+vlookup(A26,importrange(""https://docs.goo"&amp;"gle.com/spreadsheets/d/1arpJoJSlKHkJ-Zn4sJxqp3okt8tUTIYCnkob2xnYiCU/edit?usp=sharing"",""Apr 2026!$A:$AN""),40,0)+vlookup(A26,importrange(""https://docs.google.com/spreadsheets/d/1arpJoJSlKHkJ-Zn4sJxqp3okt8tUTIYCnkob2xnYiCU/edit?usp=sharing"",""May 2026!$"&amp;"A:$AN""),40,0)+vlookup(A26,importrange(""https://docs.google.com/spreadsheets/d/1arpJoJSlKHkJ-Zn4sJxqp3okt8tUTIYCnkob2xnYiCU/edit?usp=sharing"",""June 2026!$A:$AN""),40,0)+vlookup(A26,importrange(""https://docs.google.com/spreadsheets/d/1arpJoJSlKHkJ-Zn4s"&amp;"Jxqp3okt8tUTIYCnkob2xnYiCU/edit?usp=sharing"",""Current Month!$A:$AN""),40,0)"),0.0)</f>
        <v>0</v>
      </c>
      <c r="H26" s="9">
        <v>12.0</v>
      </c>
      <c r="I26" s="10">
        <f t="shared" si="2"/>
        <v>9.5</v>
      </c>
      <c r="J26" s="9">
        <f>IFERROR(__xludf.DUMMYFUNCTION("vlookup(A26,importrange(""https://docs.google.com/spreadsheets/d/1arpJoJSlKHkJ-Zn4sJxqp3okt8tUTIYCnkob2xnYiCU/edit?usp=sharing"",""Jan 2026!$A:$AP""),41,0)+vlookup(A26,importrange(""https://docs.google.com/spreadsheets/d/1arpJoJSlKHkJ-Zn4sJxqp3okt8tUTIYCn"&amp;"kob2xnYiCU/edit?usp=sharing"",""Feb 2026!$A:$AP""),41,0)+vlookup(A26,importrange(""https://docs.google.com/spreadsheets/d/1arpJoJSlKHkJ-Zn4sJxqp3okt8tUTIYCnkob2xnYiCU/edit?usp=sharing"",""Mar 2026!$A:$AP""),41,0)+vlookup(A26,importrange(""https://docs.goo"&amp;"gle.com/spreadsheets/d/1arpJoJSlKHkJ-Zn4sJxqp3okt8tUTIYCnkob2xnYiCU/edit?usp=sharing"",""Current Month!$A:$AP""),41,0)"),14.0)</f>
        <v>14</v>
      </c>
      <c r="K26" s="11">
        <f>IFERROR(__xludf.DUMMYFUNCTION("J26/((vlookup(A26,importrange(""https://docs.google.com/spreadsheets/d/1arpJoJSlKHkJ-Zn4sJxqp3okt8tUTIYCnkob2xnYiCU/edit?usp=sharing"",""Jan 2026!$A:$AG""),33,0))+(vlookup(A26,importrange(""https://docs.google.com/spreadsheets/d/1arpJoJSlKHkJ-Zn4sJxqp3okt"&amp;"8tUTIYCnkob2xnYiCU/edit?usp=sharing"",""Feb 2026!$A:$AG""),33,0))+(vlookup(A26,importrange(""https://docs.google.com/spreadsheets/d/1arpJoJSlKHkJ-Zn4sJxqp3okt8tUTIYCnkob2xnYiCU/edit?usp=sharing"",""Mar 2026!$A:$AG""),33,0))+(vlookup(A26,importrange(""http"&amp;"s://docs.google.com/spreadsheets/d/1arpJoJSlKHkJ-Zn4sJxqp3okt8tUTIYCnkob2xnYiCU/edit?usp=sharing"",""Apr 2026!$A:$AG""),33,0))+(vlookup(A26,importrange(""https://docs.google.com/spreadsheets/d/1arpJoJSlKHkJ-Zn4sJxqp3okt8tUTIYCnkob2xnYiCU/edit?usp=sharing"&amp;""",""Current Month!$A:$AG""),33,0)))"),0.19310344827586207)</f>
        <v>0.1931034483</v>
      </c>
      <c r="L26" s="9">
        <f>IFERROR(__xludf.DUMMYFUNCTION("vlookup(A26,importrange(""https://docs.google.com/spreadsheets/d/1arpJoJSlKHkJ-Zn4sJxqp3okt8tUTIYCnkob2xnYiCU/edit?usp=sharing"",""Current Month!$A:$AP""),42,0)+vlookup(A26,importrange(""https://docs.google.com/spreadsheets/d/1arpJoJSlKHkJ-Zn4sJxqp3okt8tU"&amp;"TIYCnkob2xnYiCU/edit?usp=sharing"",""Jan 2026!$A:$AP""),42,0)+vlookup(A26,importrange(""https://docs.google.com/spreadsheets/d/1arpJoJSlKHkJ-Zn4sJxqp3okt8tUTIYCnkob2xnYiCU/edit?usp=sharing"",""Feb 2026!$A:$AP""),42,0)+vlookup(A26,importrange(""https://doc"&amp;"s.google.com/spreadsheets/d/1arpJoJSlKHkJ-Zn4sJxqp3okt8tUTIYCnkob2xnYiCU/edit?usp=sharing"",""Mar 2026!$A:$AP""),42,0)+vlookup(A26,importrange(""https://docs.google.com/spreadsheets/d/1arpJoJSlKHkJ-Zn4sJxqp3okt8tUTIYCnkob2xnYiCU/edit?usp=sharing"",""Apr 2"&amp;"026!$A:$AP""),42,0)"),5.0)</f>
        <v>5</v>
      </c>
    </row>
    <row r="27" ht="15.75" customHeight="1">
      <c r="A27" s="12" t="s">
        <v>36</v>
      </c>
      <c r="B27" s="9">
        <f>IFERROR(__xludf.DUMMYFUNCTION("vlookup(A27,importrange(""https://docs.google.com/spreadsheets/d/1arpJoJSlKHkJ-Zn4sJxqp3okt8tUTIYCnkob2xnYiCU/edit?usp=sharing"",""Jan 2026!$A:$AH""),34,0)+vlookup(A27,importrange(""https://docs.google.com/spreadsheets/d/1arpJoJSlKHkJ-Zn4sJxqp3okt8tUTIYCn"&amp;"kob2xnYiCU/edit?usp=sharing"",""Feb 2026!$A:$AH""),34,0)+vlookup(A27,importrange(""https://docs.google.com/spreadsheets/d/1arpJoJSlKHkJ-Zn4sJxqp3okt8tUTIYCnkob2xnYiCU/edit?usp=sharing"",""Mar 2026!$A:$AH""),34,0)+vlookup(A27,importrange(""https://docs.goo"&amp;"gle.com/spreadsheets/d/1arpJoJSlKHkJ-Zn4sJxqp3okt8tUTIYCnkob2xnYiCU/edit?usp=sharing"",""Apr 2026!$A:$AH""),34,0)+vlookup(A27,importrange(""https://docs.google.com/spreadsheets/d/1arpJoJSlKHkJ-Zn4sJxqp3okt8tUTIYCnkob2xnYiCU/edit?usp=sharing"",""May 2026!$"&amp;"A:$AH""),34,0)+vlookup(A27,importrange(""https://docs.google.com/spreadsheets/d/1arpJoJSlKHkJ-Zn4sJxqp3okt8tUTIYCnkob2xnYiCU/edit?usp=sharing"",""June 2026!$A:$AH""),34,0)+vlookup(A27,importrange(""https://docs.google.com/spreadsheets/d/1arpJoJSlKHkJ-Zn4s"&amp;"Jxqp3okt8tUTIYCnkob2xnYiCU/edit?usp=sharing"",""Current Month!$A:$AH""),34,0)"),11.0)</f>
        <v>11</v>
      </c>
      <c r="C27" s="9">
        <f>IFERROR(__xludf.DUMMYFUNCTION("vlookup(A27,importrange(""https://docs.google.com/spreadsheets/d/1arpJoJSlKHkJ-Zn4sJxqp3okt8tUTIYCnkob2xnYiCU/edit?usp=sharing"",""Jan 2026!$A:$AI""),35,0)+vlookup(A27,importrange(""https://docs.google.com/spreadsheets/d/1arpJoJSlKHkJ-Zn4sJxqp3okt8tUTIYCn"&amp;"kob2xnYiCU/edit?usp=sharing"",""Feb 2026!$A:$AI""),35,0)+vlookup(A27,importrange(""https://docs.google.com/spreadsheets/d/1arpJoJSlKHkJ-Zn4sJxqp3okt8tUTIYCnkob2xnYiCU/edit?usp=sharing"",""Mar 2026!$A:$AI""),35,0)+vlookup(A27,importrange(""https://docs.goo"&amp;"gle.com/spreadsheets/d/1arpJoJSlKHkJ-Zn4sJxqp3okt8tUTIYCnkob2xnYiCU/edit?usp=sharing"",""Apr 2026!$A:$AI""),35,0)+vlookup(A27,importrange(""https://docs.google.com/spreadsheets/d/1arpJoJSlKHkJ-Zn4sJxqp3okt8tUTIYCnkob2xnYiCU/edit?usp=sharing"",""May 2026!$"&amp;"A:$AI""),35,0)+vlookup(A27,importrange(""https://docs.google.com/spreadsheets/d/1arpJoJSlKHkJ-Zn4sJxqp3okt8tUTIYCnkob2xnYiCU/edit?usp=sharing"",""June 2026!$A:$AI""),35,0)+vlookup(A27,importrange(""https://docs.google.com/spreadsheets/d/1arpJoJSlKHkJ-Zn4s"&amp;"Jxqp3okt8tUTIYCnkob2xnYiCU/edit?usp=sharing"",""Current Month!$A:$AI""),35,0)"),10.0)</f>
        <v>10</v>
      </c>
      <c r="D27" s="9">
        <f>IFERROR(__xludf.DUMMYFUNCTION("vlookup(A27,importrange(""https://docs.google.com/spreadsheets/d/1arpJoJSlKHkJ-Zn4sJxqp3okt8tUTIYCnkob2xnYiCU/edit?usp=sharing"",""Jan 2026!$A:$AJ""),36,0)+vlookup(A27,importrange(""https://docs.google.com/spreadsheets/d/1arpJoJSlKHkJ-Zn4sJxqp3okt8tUTIYCn"&amp;"kob2xnYiCU/edit?usp=sharing"",""Feb 2026!$A:$AJ""),36,0)+vlookup(A27,importrange(""https://docs.google.com/spreadsheets/d/1arpJoJSlKHkJ-Zn4sJxqp3okt8tUTIYCnkob2xnYiCU/edit?usp=sharing"",""Mar 2026!$A:$AJ""),36,0)+vlookup(A27,importrange(""https://docs.goo"&amp;"gle.com/spreadsheets/d/1arpJoJSlKHkJ-Zn4sJxqp3okt8tUTIYCnkob2xnYiCU/edit?usp=sharing"",""Apr 2026!$A:$AJ""),36,0)+vlookup(A27,importrange(""https://docs.google.com/spreadsheets/d/1arpJoJSlKHkJ-Zn4sJxqp3okt8tUTIYCnkob2xnYiCU/edit?usp=sharing"",""May 2026!$"&amp;"A:$AJ""),36,0)+vlookup(A27,importrange(""https://docs.google.com/spreadsheets/d/1arpJoJSlKHkJ-Zn4sJxqp3okt8tUTIYCnkob2xnYiCU/edit?usp=sharing"",""June 2026!$A:$AJ""),36,0)+vlookup(A27,importrange(""https://docs.google.com/spreadsheets/d/1arpJoJSlKHkJ-Zn4s"&amp;"Jxqp3okt8tUTIYCnkob2xnYiCU/edit?usp=sharing"",""Current Month!$A:$AJ""),36,0)"),0.0)</f>
        <v>0</v>
      </c>
      <c r="E27" s="9">
        <f>IFERROR(__xludf.DUMMYFUNCTION("vlookup(A27,importrange(""https://docs.google.com/spreadsheets/d/1arpJoJSlKHkJ-Zn4sJxqp3okt8tUTIYCnkob2xnYiCU/edit?usp=sharing"",""Jan 2026!$A:$AK""),37,0)+vlookup(A27,importrange(""https://docs.google.com/spreadsheets/d/1arpJoJSlKHkJ-Zn4sJxqp3okt8tUTIYCn"&amp;"kob2xnYiCU/edit?usp=sharing"",""Feb 2026!$A:$AK""),37,0)+vlookup(A27,importrange(""https://docs.google.com/spreadsheets/d/1arpJoJSlKHkJ-Zn4sJxqp3okt8tUTIYCnkob2xnYiCU/edit?usp=sharing"",""Mar 2026!$A:$AK""),37,0)+vlookup(A27,importrange(""https://docs.goo"&amp;"gle.com/spreadsheets/d/1arpJoJSlKHkJ-Zn4sJxqp3okt8tUTIYCnkob2xnYiCU/edit?usp=sharing"",""Apr 2026!$A:$AK""),37,0)+vlookup(A27,importrange(""https://docs.google.com/spreadsheets/d/1arpJoJSlKHkJ-Zn4sJxqp3okt8tUTIYCnkob2xnYiCU/edit?usp=sharing"",""May 2026!$"&amp;"A:$AK""),37,0)+vlookup(A27,importrange(""https://docs.google.com/spreadsheets/d/1arpJoJSlKHkJ-Zn4sJxqp3okt8tUTIYCnkob2xnYiCU/edit?usp=sharing"",""June 2026!$A:$AK""),37,0)+vlookup(A27,importrange(""https://docs.google.com/spreadsheets/d/1arpJoJSlKHkJ-Zn4s"&amp;"Jxqp3okt8tUTIYCnkob2xnYiCU/edit?usp=sharing"",""Current Month!$A:$AK""),37,0)"),0.0)</f>
        <v>0</v>
      </c>
      <c r="F27" s="9">
        <f t="shared" si="1"/>
        <v>2</v>
      </c>
      <c r="G27" s="9">
        <f>IFERROR(__xludf.DUMMYFUNCTION("vlookup(A27,importrange(""https://docs.google.com/spreadsheets/d/1arpJoJSlKHkJ-Zn4sJxqp3okt8tUTIYCnkob2xnYiCU/edit?usp=sharing"",""Jan 2026!$A:$AN""),40,0)+vlookup(A27,importrange(""https://docs.google.com/spreadsheets/d/1arpJoJSlKHkJ-Zn4sJxqp3okt8tUTIYCn"&amp;"kob2xnYiCU/edit?usp=sharing"",""Feb 2026!$A:$AN""),40,0)+vlookup(A27,importrange(""https://docs.google.com/spreadsheets/d/1arpJoJSlKHkJ-Zn4sJxqp3okt8tUTIYCnkob2xnYiCU/edit?usp=sharing"",""Mar 2026!$A:$AN""),40,0)+vlookup(A27,importrange(""https://docs.goo"&amp;"gle.com/spreadsheets/d/1arpJoJSlKHkJ-Zn4sJxqp3okt8tUTIYCnkob2xnYiCU/edit?usp=sharing"",""Apr 2026!$A:$AN""),40,0)+vlookup(A27,importrange(""https://docs.google.com/spreadsheets/d/1arpJoJSlKHkJ-Zn4sJxqp3okt8tUTIYCnkob2xnYiCU/edit?usp=sharing"",""May 2026!$"&amp;"A:$AN""),40,0)+vlookup(A27,importrange(""https://docs.google.com/spreadsheets/d/1arpJoJSlKHkJ-Zn4sJxqp3okt8tUTIYCnkob2xnYiCU/edit?usp=sharing"",""June 2026!$A:$AN""),40,0)+vlookup(A27,importrange(""https://docs.google.com/spreadsheets/d/1arpJoJSlKHkJ-Zn4s"&amp;"Jxqp3okt8tUTIYCnkob2xnYiCU/edit?usp=sharing"",""Current Month!$A:$AN""),40,0)"),2.0)</f>
        <v>2</v>
      </c>
      <c r="H27" s="9">
        <v>12.0</v>
      </c>
      <c r="I27" s="10">
        <f t="shared" si="2"/>
        <v>0</v>
      </c>
      <c r="J27" s="9">
        <f>IFERROR(__xludf.DUMMYFUNCTION("vlookup(A27,importrange(""https://docs.google.com/spreadsheets/d/1arpJoJSlKHkJ-Zn4sJxqp3okt8tUTIYCnkob2xnYiCU/edit?usp=sharing"",""Jan 2026!$A:$AP""),41,0)+vlookup(A27,importrange(""https://docs.google.com/spreadsheets/d/1arpJoJSlKHkJ-Zn4sJxqp3okt8tUTIYCn"&amp;"kob2xnYiCU/edit?usp=sharing"",""Feb 2026!$A:$AP""),41,0)+vlookup(A27,importrange(""https://docs.google.com/spreadsheets/d/1arpJoJSlKHkJ-Zn4sJxqp3okt8tUTIYCnkob2xnYiCU/edit?usp=sharing"",""Mar 2026!$A:$AP""),41,0)+vlookup(A27,importrange(""https://docs.goo"&amp;"gle.com/spreadsheets/d/1arpJoJSlKHkJ-Zn4sJxqp3okt8tUTIYCnkob2xnYiCU/edit?usp=sharing"",""Current Month!$A:$AP""),41,0)"),19.0)</f>
        <v>19</v>
      </c>
      <c r="K27" s="11">
        <f>IFERROR(__xludf.DUMMYFUNCTION("J27/((vlookup(A27,importrange(""https://docs.google.com/spreadsheets/d/1arpJoJSlKHkJ-Zn4sJxqp3okt8tUTIYCnkob2xnYiCU/edit?usp=sharing"",""Jan 2026!$A:$AG""),33,0))+(vlookup(A27,importrange(""https://docs.google.com/spreadsheets/d/1arpJoJSlKHkJ-Zn4sJxqp3okt"&amp;"8tUTIYCnkob2xnYiCU/edit?usp=sharing"",""Feb 2026!$A:$AG""),33,0))+(vlookup(A27,importrange(""https://docs.google.com/spreadsheets/d/1arpJoJSlKHkJ-Zn4sJxqp3okt8tUTIYCnkob2xnYiCU/edit?usp=sharing"",""Mar 2026!$A:$AG""),33,0))+(vlookup(A27,importrange(""http"&amp;"s://docs.google.com/spreadsheets/d/1arpJoJSlKHkJ-Zn4sJxqp3okt8tUTIYCnkob2xnYiCU/edit?usp=sharing"",""Apr 2026!$A:$AG""),33,0))+(vlookup(A27,importrange(""https://docs.google.com/spreadsheets/d/1arpJoJSlKHkJ-Zn4sJxqp3okt8tUTIYCnkob2xnYiCU/edit?usp=sharing"&amp;""",""Current Month!$A:$AG""),33,0)))"),0.22093023255813954)</f>
        <v>0.2209302326</v>
      </c>
      <c r="L27" s="9">
        <f>IFERROR(__xludf.DUMMYFUNCTION("vlookup(A27,importrange(""https://docs.google.com/spreadsheets/d/1arpJoJSlKHkJ-Zn4sJxqp3okt8tUTIYCnkob2xnYiCU/edit?usp=sharing"",""Current Month!$A:$AP""),42,0)+vlookup(A27,importrange(""https://docs.google.com/spreadsheets/d/1arpJoJSlKHkJ-Zn4sJxqp3okt8tU"&amp;"TIYCnkob2xnYiCU/edit?usp=sharing"",""Jan 2026!$A:$AP""),42,0)+vlookup(A27,importrange(""https://docs.google.com/spreadsheets/d/1arpJoJSlKHkJ-Zn4sJxqp3okt8tUTIYCnkob2xnYiCU/edit?usp=sharing"",""Feb 2026!$A:$AP""),42,0)+vlookup(A27,importrange(""https://doc"&amp;"s.google.com/spreadsheets/d/1arpJoJSlKHkJ-Zn4sJxqp3okt8tUTIYCnkob2xnYiCU/edit?usp=sharing"",""Mar 2026!$A:$AP""),42,0)+vlookup(A27,importrange(""https://docs.google.com/spreadsheets/d/1arpJoJSlKHkJ-Zn4sJxqp3okt8tUTIYCnkob2xnYiCU/edit?usp=sharing"",""Apr 2"&amp;"026!$A:$AP""),42,0)"),7.0)</f>
        <v>7</v>
      </c>
    </row>
    <row r="28" ht="15.75" hidden="1" customHeight="1">
      <c r="A28" s="8" t="s">
        <v>37</v>
      </c>
      <c r="B28" s="9" t="str">
        <f>IFERROR(__xludf.DUMMYFUNCTION("vlookup(A28,importrange(""https://docs.google.com/spreadsheets/d/1arpJoJSlKHkJ-Zn4sJxqp3okt8tUTIYCnkob2xnYiCU/edit?usp=sharing"",""Jan 2026!$A:$AH""),34,0)+vlookup(A28,importrange(""https://docs.google.com/spreadsheets/d/1arpJoJSlKHkJ-Zn4sJxqp3okt8tUTIYCn"&amp;"kob2xnYiCU/edit?usp=sharing"",""Feb 2026!$A:$AH""),34,0)+vlookup(A28,importrange(""https://docs.google.com/spreadsheets/d/1arpJoJSlKHkJ-Zn4sJxqp3okt8tUTIYCnkob2xnYiCU/edit?usp=sharing"",""Mar 2026!$A:$AH""),34,0)+vlookup(A28,importrange(""https://docs.goo"&amp;"gle.com/spreadsheets/d/1arpJoJSlKHkJ-Zn4sJxqp3okt8tUTIYCnkob2xnYiCU/edit?usp=sharing"",""Apr 2026!$A:$AH""),34,0)+vlookup(A28,importrange(""https://docs.google.com/spreadsheets/d/1arpJoJSlKHkJ-Zn4sJxqp3okt8tUTIYCnkob2xnYiCU/edit?usp=sharing"",""May 2026!$"&amp;"A:$AH""),34,0)+vlookup(A28,importrange(""https://docs.google.com/spreadsheets/d/1arpJoJSlKHkJ-Zn4sJxqp3okt8tUTIYCnkob2xnYiCU/edit?usp=sharing"",""June 2026!$A:$AH""),34,0)+vlookup(A28,importrange(""https://docs.google.com/spreadsheets/d/1arpJoJSlKHkJ-Zn4s"&amp;"Jxqp3okt8tUTIYCnkob2xnYiCU/edit?usp=sharing"",""Current Month!$A:$AH""),34,0)"),"#N/A")</f>
        <v>#N/A</v>
      </c>
      <c r="C28" s="9" t="str">
        <f>IFERROR(__xludf.DUMMYFUNCTION("vlookup(A28,importrange(""https://docs.google.com/spreadsheets/d/1arpJoJSlKHkJ-Zn4sJxqp3okt8tUTIYCnkob2xnYiCU/edit?usp=sharing"",""Jan 2026!$A:$AI""),35,0)+vlookup(A28,importrange(""https://docs.google.com/spreadsheets/d/1arpJoJSlKHkJ-Zn4sJxqp3okt8tUTIYCn"&amp;"kob2xnYiCU/edit?usp=sharing"",""Feb 2026!$A:$AI""),35,0)+vlookup(A28,importrange(""https://docs.google.com/spreadsheets/d/1arpJoJSlKHkJ-Zn4sJxqp3okt8tUTIYCnkob2xnYiCU/edit?usp=sharing"",""Mar 2026!$A:$AI""),35,0)+vlookup(A28,importrange(""https://docs.goo"&amp;"gle.com/spreadsheets/d/1arpJoJSlKHkJ-Zn4sJxqp3okt8tUTIYCnkob2xnYiCU/edit?usp=sharing"",""Apr 2026!$A:$AI""),35,0)+vlookup(A28,importrange(""https://docs.google.com/spreadsheets/d/1arpJoJSlKHkJ-Zn4sJxqp3okt8tUTIYCnkob2xnYiCU/edit?usp=sharing"",""May 2026!$"&amp;"A:$AI""),35,0)+vlookup(A28,importrange(""https://docs.google.com/spreadsheets/d/1arpJoJSlKHkJ-Zn4sJxqp3okt8tUTIYCnkob2xnYiCU/edit?usp=sharing"",""June 2026!$A:$AI""),35,0)+vlookup(A28,importrange(""https://docs.google.com/spreadsheets/d/1arpJoJSlKHkJ-Zn4s"&amp;"Jxqp3okt8tUTIYCnkob2xnYiCU/edit?usp=sharing"",""Current Month!$A:$AI""),35,0)"),"#N/A")</f>
        <v>#N/A</v>
      </c>
      <c r="D28" s="9" t="str">
        <f>IFERROR(__xludf.DUMMYFUNCTION("vlookup(A28,importrange(""https://docs.google.com/spreadsheets/d/1arpJoJSlKHkJ-Zn4sJxqp3okt8tUTIYCnkob2xnYiCU/edit?usp=sharing"",""Jan 2026!$A:$AJ""),36,0)+vlookup(A28,importrange(""https://docs.google.com/spreadsheets/d/1arpJoJSlKHkJ-Zn4sJxqp3okt8tUTIYCn"&amp;"kob2xnYiCU/edit?usp=sharing"",""Feb 2026!$A:$AJ""),36,0)+vlookup(A28,importrange(""https://docs.google.com/spreadsheets/d/1arpJoJSlKHkJ-Zn4sJxqp3okt8tUTIYCnkob2xnYiCU/edit?usp=sharing"",""Mar 2026!$A:$AJ""),36,0)+vlookup(A28,importrange(""https://docs.goo"&amp;"gle.com/spreadsheets/d/1arpJoJSlKHkJ-Zn4sJxqp3okt8tUTIYCnkob2xnYiCU/edit?usp=sharing"",""Apr 2026!$A:$AJ""),36,0)+vlookup(A28,importrange(""https://docs.google.com/spreadsheets/d/1arpJoJSlKHkJ-Zn4sJxqp3okt8tUTIYCnkob2xnYiCU/edit?usp=sharing"",""May 2026!$"&amp;"A:$AJ""),36,0)+vlookup(A28,importrange(""https://docs.google.com/spreadsheets/d/1arpJoJSlKHkJ-Zn4sJxqp3okt8tUTIYCnkob2xnYiCU/edit?usp=sharing"",""June 2026!$A:$AJ""),36,0)+vlookup(A28,importrange(""https://docs.google.com/spreadsheets/d/1arpJoJSlKHkJ-Zn4s"&amp;"Jxqp3okt8tUTIYCnkob2xnYiCU/edit?usp=sharing"",""Current Month!$A:$AJ""),36,0)"),"#N/A")</f>
        <v>#N/A</v>
      </c>
      <c r="E28" s="9" t="str">
        <f>IFERROR(__xludf.DUMMYFUNCTION("vlookup(A28,importrange(""https://docs.google.com/spreadsheets/d/1arpJoJSlKHkJ-Zn4sJxqp3okt8tUTIYCnkob2xnYiCU/edit?usp=sharing"",""Jan 2026!$A:$AK""),37,0)+vlookup(A28,importrange(""https://docs.google.com/spreadsheets/d/1arpJoJSlKHkJ-Zn4sJxqp3okt8tUTIYCn"&amp;"kob2xnYiCU/edit?usp=sharing"",""Feb 2026!$A:$AK""),37,0)+vlookup(A28,importrange(""https://docs.google.com/spreadsheets/d/1arpJoJSlKHkJ-Zn4sJxqp3okt8tUTIYCnkob2xnYiCU/edit?usp=sharing"",""Mar 2026!$A:$AK""),37,0)+vlookup(A28,importrange(""https://docs.goo"&amp;"gle.com/spreadsheets/d/1arpJoJSlKHkJ-Zn4sJxqp3okt8tUTIYCnkob2xnYiCU/edit?usp=sharing"",""Apr 2026!$A:$AK""),37,0)+vlookup(A28,importrange(""https://docs.google.com/spreadsheets/d/1arpJoJSlKHkJ-Zn4sJxqp3okt8tUTIYCnkob2xnYiCU/edit?usp=sharing"",""May 2026!$"&amp;"A:$AK""),37,0)+vlookup(A28,importrange(""https://docs.google.com/spreadsheets/d/1arpJoJSlKHkJ-Zn4sJxqp3okt8tUTIYCnkob2xnYiCU/edit?usp=sharing"",""June 2026!$A:$AK""),37,0)+vlookup(A28,importrange(""https://docs.google.com/spreadsheets/d/1arpJoJSlKHkJ-Zn4s"&amp;"Jxqp3okt8tUTIYCnkob2xnYiCU/edit?usp=sharing"",""Current Month!$A:$AK""),37,0)"),"#N/A")</f>
        <v>#N/A</v>
      </c>
      <c r="F28" s="9" t="str">
        <f t="shared" si="1"/>
        <v>#N/A</v>
      </c>
      <c r="G28" s="9" t="str">
        <f>IFERROR(__xludf.DUMMYFUNCTION("vlookup(A28,importrange(""https://docs.google.com/spreadsheets/d/1arpJoJSlKHkJ-Zn4sJxqp3okt8tUTIYCnkob2xnYiCU/edit?usp=sharing"",""Jan 2026!$A:$AN""),40,0)+vlookup(A28,importrange(""https://docs.google.com/spreadsheets/d/1arpJoJSlKHkJ-Zn4sJxqp3okt8tUTIYCn"&amp;"kob2xnYiCU/edit?usp=sharing"",""Feb 2026!$A:$AN""),40,0)+vlookup(A28,importrange(""https://docs.google.com/spreadsheets/d/1arpJoJSlKHkJ-Zn4sJxqp3okt8tUTIYCnkob2xnYiCU/edit?usp=sharing"",""Mar 2026!$A:$AN""),40,0)+vlookup(A28,importrange(""https://docs.goo"&amp;"gle.com/spreadsheets/d/1arpJoJSlKHkJ-Zn4sJxqp3okt8tUTIYCnkob2xnYiCU/edit?usp=sharing"",""Apr 2026!$A:$AN""),40,0)+vlookup(A28,importrange(""https://docs.google.com/spreadsheets/d/1arpJoJSlKHkJ-Zn4sJxqp3okt8tUTIYCnkob2xnYiCU/edit?usp=sharing"",""May 2026!$"&amp;"A:$AN""),40,0)+vlookup(A28,importrange(""https://docs.google.com/spreadsheets/d/1arpJoJSlKHkJ-Zn4sJxqp3okt8tUTIYCnkob2xnYiCU/edit?usp=sharing"",""June 2026!$A:$AN""),40,0)+vlookup(A28,importrange(""https://docs.google.com/spreadsheets/d/1arpJoJSlKHkJ-Zn4s"&amp;"Jxqp3okt8tUTIYCnkob2xnYiCU/edit?usp=sharing"",""Current Month!$A:$AN""),40,0)"),"#N/A")</f>
        <v>#N/A</v>
      </c>
      <c r="H28" s="9">
        <v>12.0</v>
      </c>
      <c r="I28" s="10" t="str">
        <f t="shared" si="2"/>
        <v>#N/A</v>
      </c>
      <c r="J28" s="9" t="str">
        <f>IFERROR(__xludf.DUMMYFUNCTION("vlookup(A28,importrange(""https://docs.google.com/spreadsheets/d/1arpJoJSlKHkJ-Zn4sJxqp3okt8tUTIYCnkob2xnYiCU/edit?usp=sharing"",""Jan 2026!$A:$AP""),41,0)+vlookup(A28,importrange(""https://docs.google.com/spreadsheets/d/1arpJoJSlKHkJ-Zn4sJxqp3okt8tUTIYCn"&amp;"kob2xnYiCU/edit?usp=sharing"",""Feb 2026!$A:$AP""),41,0)+vlookup(A28,importrange(""https://docs.google.com/spreadsheets/d/1arpJoJSlKHkJ-Zn4sJxqp3okt8tUTIYCnkob2xnYiCU/edit?usp=sharing"",""Mar 2026!$A:$AP""),41,0)+vlookup(A28,importrange(""https://docs.goo"&amp;"gle.com/spreadsheets/d/1arpJoJSlKHkJ-Zn4sJxqp3okt8tUTIYCnkob2xnYiCU/edit?usp=sharing"",""Current Month!$A:$AP""),41,0)"),"#N/A")</f>
        <v>#N/A</v>
      </c>
      <c r="K28" s="11" t="str">
        <f>IFERROR(__xludf.DUMMYFUNCTION("J28/((vlookup(A28,importrange(""https://docs.google.com/spreadsheets/d/1arpJoJSlKHkJ-Zn4sJxqp3okt8tUTIYCnkob2xnYiCU/edit?usp=sharing"",""Jan 2026!$A:$AG""),33,0))+(vlookup(A28,importrange(""https://docs.google.com/spreadsheets/d/1arpJoJSlKHkJ-Zn4sJxqp3okt"&amp;"8tUTIYCnkob2xnYiCU/edit?usp=sharing"",""Feb 2026!$A:$AG""),33,0))+(vlookup(A28,importrange(""https://docs.google.com/spreadsheets/d/1arpJoJSlKHkJ-Zn4sJxqp3okt8tUTIYCnkob2xnYiCU/edit?usp=sharing"",""Mar 2026!$A:$AG""),33,0))+(vlookup(A28,importrange(""http"&amp;"s://docs.google.com/spreadsheets/d/1arpJoJSlKHkJ-Zn4sJxqp3okt8tUTIYCnkob2xnYiCU/edit?usp=sharing"",""Apr 2026!$A:$AG""),33,0))+(vlookup(A28,importrange(""https://docs.google.com/spreadsheets/d/1arpJoJSlKHkJ-Zn4sJxqp3okt8tUTIYCnkob2xnYiCU/edit?usp=sharing"&amp;""",""Current Month!$A:$AG""),33,0)))"),"#N/A")</f>
        <v>#N/A</v>
      </c>
      <c r="L28" s="9" t="str">
        <f>IFERROR(__xludf.DUMMYFUNCTION("vlookup(A28,importrange(""https://docs.google.com/spreadsheets/d/1arpJoJSlKHkJ-Zn4sJxqp3okt8tUTIYCnkob2xnYiCU/edit?usp=sharing"",""Current Month!$A:$AP""),42,0)+vlookup(A28,importrange(""https://docs.google.com/spreadsheets/d/1arpJoJSlKHkJ-Zn4sJxqp3okt8tU"&amp;"TIYCnkob2xnYiCU/edit?usp=sharing"",""Jan 2026!$A:$AP""),42,0)+vlookup(A28,importrange(""https://docs.google.com/spreadsheets/d/1arpJoJSlKHkJ-Zn4sJxqp3okt8tUTIYCnkob2xnYiCU/edit?usp=sharing"",""Feb 2026!$A:$AP""),42,0)+vlookup(A28,importrange(""https://doc"&amp;"s.google.com/spreadsheets/d/1arpJoJSlKHkJ-Zn4sJxqp3okt8tUTIYCnkob2xnYiCU/edit?usp=sharing"",""Mar 2026!$A:$AP""),42,0)+vlookup(A28,importrange(""https://docs.google.com/spreadsheets/d/1arpJoJSlKHkJ-Zn4sJxqp3okt8tUTIYCnkob2xnYiCU/edit?usp=sharing"",""Apr 2"&amp;"026!$A:$AP""),42,0)"),"#N/A")</f>
        <v>#N/A</v>
      </c>
    </row>
    <row r="29" ht="15.75" hidden="1" customHeight="1">
      <c r="A29" s="8" t="s">
        <v>38</v>
      </c>
      <c r="B29" s="9">
        <f>IFERROR(__xludf.DUMMYFUNCTION("vlookup(A29,importrange(""https://docs.google.com/spreadsheets/d/1arpJoJSlKHkJ-Zn4sJxqp3okt8tUTIYCnkob2xnYiCU/edit?usp=sharing"",""Jan 2026!$A:$AH""),34,0)+vlookup(A29,importrange(""https://docs.google.com/spreadsheets/d/1arpJoJSlKHkJ-Zn4sJxqp3okt8tUTIYCn"&amp;"kob2xnYiCU/edit?usp=sharing"",""Feb 2026!$A:$AH""),34,0)+vlookup(A29,importrange(""https://docs.google.com/spreadsheets/d/1arpJoJSlKHkJ-Zn4sJxqp3okt8tUTIYCnkob2xnYiCU/edit?usp=sharing"",""Mar 2026!$A:$AH""),34,0)+vlookup(A29,importrange(""https://docs.goo"&amp;"gle.com/spreadsheets/d/1arpJoJSlKHkJ-Zn4sJxqp3okt8tUTIYCnkob2xnYiCU/edit?usp=sharing"",""Apr 2026!$A:$AH""),34,0)+vlookup(A29,importrange(""https://docs.google.com/spreadsheets/d/1arpJoJSlKHkJ-Zn4sJxqp3okt8tUTIYCnkob2xnYiCU/edit?usp=sharing"",""May 2026!$"&amp;"A:$AH""),34,0)+vlookup(A29,importrange(""https://docs.google.com/spreadsheets/d/1arpJoJSlKHkJ-Zn4sJxqp3okt8tUTIYCnkob2xnYiCU/edit?usp=sharing"",""June 2026!$A:$AH""),34,0)+vlookup(A29,importrange(""https://docs.google.com/spreadsheets/d/1arpJoJSlKHkJ-Zn4s"&amp;"Jxqp3okt8tUTIYCnkob2xnYiCU/edit?usp=sharing"",""Current Month!$A:$AH""),34,0)"),3.0)</f>
        <v>3</v>
      </c>
      <c r="C29" s="9">
        <f>IFERROR(__xludf.DUMMYFUNCTION("vlookup(A29,importrange(""https://docs.google.com/spreadsheets/d/1arpJoJSlKHkJ-Zn4sJxqp3okt8tUTIYCnkob2xnYiCU/edit?usp=sharing"",""Jan 2026!$A:$AI""),35,0)+vlookup(A29,importrange(""https://docs.google.com/spreadsheets/d/1arpJoJSlKHkJ-Zn4sJxqp3okt8tUTIYCn"&amp;"kob2xnYiCU/edit?usp=sharing"",""Feb 2026!$A:$AI""),35,0)+vlookup(A29,importrange(""https://docs.google.com/spreadsheets/d/1arpJoJSlKHkJ-Zn4sJxqp3okt8tUTIYCnkob2xnYiCU/edit?usp=sharing"",""Mar 2026!$A:$AI""),35,0)+vlookup(A29,importrange(""https://docs.goo"&amp;"gle.com/spreadsheets/d/1arpJoJSlKHkJ-Zn4sJxqp3okt8tUTIYCnkob2xnYiCU/edit?usp=sharing"",""Apr 2026!$A:$AI""),35,0)+vlookup(A29,importrange(""https://docs.google.com/spreadsheets/d/1arpJoJSlKHkJ-Zn4sJxqp3okt8tUTIYCnkob2xnYiCU/edit?usp=sharing"",""May 2026!$"&amp;"A:$AI""),35,0)+vlookup(A29,importrange(""https://docs.google.com/spreadsheets/d/1arpJoJSlKHkJ-Zn4sJxqp3okt8tUTIYCnkob2xnYiCU/edit?usp=sharing"",""June 2026!$A:$AI""),35,0)+vlookup(A29,importrange(""https://docs.google.com/spreadsheets/d/1arpJoJSlKHkJ-Zn4s"&amp;"Jxqp3okt8tUTIYCnkob2xnYiCU/edit?usp=sharing"",""Current Month!$A:$AI""),35,0)"),4.0)</f>
        <v>4</v>
      </c>
      <c r="D29" s="9">
        <f>IFERROR(__xludf.DUMMYFUNCTION("vlookup(A29,importrange(""https://docs.google.com/spreadsheets/d/1arpJoJSlKHkJ-Zn4sJxqp3okt8tUTIYCnkob2xnYiCU/edit?usp=sharing"",""Jan 2026!$A:$AJ""),36,0)+vlookup(A29,importrange(""https://docs.google.com/spreadsheets/d/1arpJoJSlKHkJ-Zn4sJxqp3okt8tUTIYCn"&amp;"kob2xnYiCU/edit?usp=sharing"",""Feb 2026!$A:$AJ""),36,0)+vlookup(A29,importrange(""https://docs.google.com/spreadsheets/d/1arpJoJSlKHkJ-Zn4sJxqp3okt8tUTIYCnkob2xnYiCU/edit?usp=sharing"",""Mar 2026!$A:$AJ""),36,0)+vlookup(A29,importrange(""https://docs.goo"&amp;"gle.com/spreadsheets/d/1arpJoJSlKHkJ-Zn4sJxqp3okt8tUTIYCnkob2xnYiCU/edit?usp=sharing"",""Apr 2026!$A:$AJ""),36,0)+vlookup(A29,importrange(""https://docs.google.com/spreadsheets/d/1arpJoJSlKHkJ-Zn4sJxqp3okt8tUTIYCnkob2xnYiCU/edit?usp=sharing"",""May 2026!$"&amp;"A:$AJ""),36,0)+vlookup(A29,importrange(""https://docs.google.com/spreadsheets/d/1arpJoJSlKHkJ-Zn4sJxqp3okt8tUTIYCnkob2xnYiCU/edit?usp=sharing"",""June 2026!$A:$AJ""),36,0)+vlookup(A29,importrange(""https://docs.google.com/spreadsheets/d/1arpJoJSlKHkJ-Zn4s"&amp;"Jxqp3okt8tUTIYCnkob2xnYiCU/edit?usp=sharing"",""Current Month!$A:$AJ""),36,0)"),1.0)</f>
        <v>1</v>
      </c>
      <c r="E29" s="9">
        <f>IFERROR(__xludf.DUMMYFUNCTION("vlookup(A29,importrange(""https://docs.google.com/spreadsheets/d/1arpJoJSlKHkJ-Zn4sJxqp3okt8tUTIYCnkob2xnYiCU/edit?usp=sharing"",""Jan 2026!$A:$AK""),37,0)+vlookup(A29,importrange(""https://docs.google.com/spreadsheets/d/1arpJoJSlKHkJ-Zn4sJxqp3okt8tUTIYCn"&amp;"kob2xnYiCU/edit?usp=sharing"",""Feb 2026!$A:$AK""),37,0)+vlookup(A29,importrange(""https://docs.google.com/spreadsheets/d/1arpJoJSlKHkJ-Zn4sJxqp3okt8tUTIYCnkob2xnYiCU/edit?usp=sharing"",""Mar 2026!$A:$AK""),37,0)+vlookup(A29,importrange(""https://docs.goo"&amp;"gle.com/spreadsheets/d/1arpJoJSlKHkJ-Zn4sJxqp3okt8tUTIYCnkob2xnYiCU/edit?usp=sharing"",""Apr 2026!$A:$AK""),37,0)+vlookup(A29,importrange(""https://docs.google.com/spreadsheets/d/1arpJoJSlKHkJ-Zn4sJxqp3okt8tUTIYCnkob2xnYiCU/edit?usp=sharing"",""May 2026!$"&amp;"A:$AK""),37,0)+vlookup(A29,importrange(""https://docs.google.com/spreadsheets/d/1arpJoJSlKHkJ-Zn4sJxqp3okt8tUTIYCnkob2xnYiCU/edit?usp=sharing"",""June 2026!$A:$AK""),37,0)+vlookup(A29,importrange(""https://docs.google.com/spreadsheets/d/1arpJoJSlKHkJ-Zn4s"&amp;"Jxqp3okt8tUTIYCnkob2xnYiCU/edit?usp=sharing"",""Current Month!$A:$AK""),37,0)"),0.0)</f>
        <v>0</v>
      </c>
      <c r="F29" s="9">
        <f t="shared" si="1"/>
        <v>3</v>
      </c>
      <c r="G29" s="9">
        <f>IFERROR(__xludf.DUMMYFUNCTION("vlookup(A29,importrange(""https://docs.google.com/spreadsheets/d/1arpJoJSlKHkJ-Zn4sJxqp3okt8tUTIYCnkob2xnYiCU/edit?usp=sharing"",""Jan 2026!$A:$AN""),40,0)+vlookup(A29,importrange(""https://docs.google.com/spreadsheets/d/1arpJoJSlKHkJ-Zn4sJxqp3okt8tUTIYCn"&amp;"kob2xnYiCU/edit?usp=sharing"",""Feb 2026!$A:$AN""),40,0)+vlookup(A29,importrange(""https://docs.google.com/spreadsheets/d/1arpJoJSlKHkJ-Zn4sJxqp3okt8tUTIYCnkob2xnYiCU/edit?usp=sharing"",""Mar 2026!$A:$AN""),40,0)+vlookup(A29,importrange(""https://docs.goo"&amp;"gle.com/spreadsheets/d/1arpJoJSlKHkJ-Zn4sJxqp3okt8tUTIYCnkob2xnYiCU/edit?usp=sharing"",""Apr 2026!$A:$AN""),40,0)+vlookup(A29,importrange(""https://docs.google.com/spreadsheets/d/1arpJoJSlKHkJ-Zn4sJxqp3okt8tUTIYCnkob2xnYiCU/edit?usp=sharing"",""May 2026!$"&amp;"A:$AN""),40,0)+vlookup(A29,importrange(""https://docs.google.com/spreadsheets/d/1arpJoJSlKHkJ-Zn4sJxqp3okt8tUTIYCnkob2xnYiCU/edit?usp=sharing"",""June 2026!$A:$AN""),40,0)+vlookup(A29,importrange(""https://docs.google.com/spreadsheets/d/1arpJoJSlKHkJ-Zn4s"&amp;"Jxqp3okt8tUTIYCnkob2xnYiCU/edit?usp=sharing"",""Current Month!$A:$AN""),40,0)"),1.0)</f>
        <v>1</v>
      </c>
      <c r="H29" s="9">
        <v>12.0</v>
      </c>
      <c r="I29" s="10">
        <f t="shared" si="2"/>
        <v>14</v>
      </c>
      <c r="J29" s="9">
        <f>IFERROR(__xludf.DUMMYFUNCTION("vlookup(A29,importrange(""https://docs.google.com/spreadsheets/d/1arpJoJSlKHkJ-Zn4sJxqp3okt8tUTIYCnkob2xnYiCU/edit?usp=sharing"",""Jan 2026!$A:$AP""),41,0)+vlookup(A29,importrange(""https://docs.google.com/spreadsheets/d/1arpJoJSlKHkJ-Zn4sJxqp3okt8tUTIYCn"&amp;"kob2xnYiCU/edit?usp=sharing"",""Feb 2026!$A:$AP""),41,0)+vlookup(A29,importrange(""https://docs.google.com/spreadsheets/d/1arpJoJSlKHkJ-Zn4sJxqp3okt8tUTIYCnkob2xnYiCU/edit?usp=sharing"",""Mar 2026!$A:$AP""),41,0)+vlookup(A29,importrange(""https://docs.goo"&amp;"gle.com/spreadsheets/d/1arpJoJSlKHkJ-Zn4sJxqp3okt8tUTIYCnkob2xnYiCU/edit?usp=sharing"",""Current Month!$A:$AP""),41,0)"),25.0)</f>
        <v>25</v>
      </c>
      <c r="K29" s="11">
        <f>IFERROR(__xludf.DUMMYFUNCTION("J29/((vlookup(A29,importrange(""https://docs.google.com/spreadsheets/d/1arpJoJSlKHkJ-Zn4sJxqp3okt8tUTIYCnkob2xnYiCU/edit?usp=sharing"",""Jan 2026!$A:$AG""),33,0))+(vlookup(A29,importrange(""https://docs.google.com/spreadsheets/d/1arpJoJSlKHkJ-Zn4sJxqp3okt"&amp;"8tUTIYCnkob2xnYiCU/edit?usp=sharing"",""Feb 2026!$A:$AG""),33,0))+(vlookup(A29,importrange(""https://docs.google.com/spreadsheets/d/1arpJoJSlKHkJ-Zn4sJxqp3okt8tUTIYCnkob2xnYiCU/edit?usp=sharing"",""Mar 2026!$A:$AG""),33,0))+(vlookup(A29,importrange(""http"&amp;"s://docs.google.com/spreadsheets/d/1arpJoJSlKHkJ-Zn4sJxqp3okt8tUTIYCnkob2xnYiCU/edit?usp=sharing"",""Apr 2026!$A:$AG""),33,0))+(vlookup(A29,importrange(""https://docs.google.com/spreadsheets/d/1arpJoJSlKHkJ-Zn4sJxqp3okt8tUTIYCnkob2xnYiCU/edit?usp=sharing"&amp;""",""Current Month!$A:$AG""),33,0)))"),0.5555555555555556)</f>
        <v>0.5555555556</v>
      </c>
      <c r="L29" s="9">
        <f>IFERROR(__xludf.DUMMYFUNCTION("vlookup(A29,importrange(""https://docs.google.com/spreadsheets/d/1arpJoJSlKHkJ-Zn4sJxqp3okt8tUTIYCnkob2xnYiCU/edit?usp=sharing"",""Current Month!$A:$AP""),42,0)+vlookup(A29,importrange(""https://docs.google.com/spreadsheets/d/1arpJoJSlKHkJ-Zn4sJxqp3okt8tU"&amp;"TIYCnkob2xnYiCU/edit?usp=sharing"",""Jan 2026!$A:$AP""),42,0)+vlookup(A29,importrange(""https://docs.google.com/spreadsheets/d/1arpJoJSlKHkJ-Zn4sJxqp3okt8tUTIYCnkob2xnYiCU/edit?usp=sharing"",""Feb 2026!$A:$AP""),42,0)+vlookup(A29,importrange(""https://doc"&amp;"s.google.com/spreadsheets/d/1arpJoJSlKHkJ-Zn4sJxqp3okt8tUTIYCnkob2xnYiCU/edit?usp=sharing"",""Mar 2026!$A:$AP""),42,0)+vlookup(A29,importrange(""https://docs.google.com/spreadsheets/d/1arpJoJSlKHkJ-Zn4sJxqp3okt8tUTIYCnkob2xnYiCU/edit?usp=sharing"",""Apr 2"&amp;"026!$A:$AP""),42,0)"),2.0)</f>
        <v>2</v>
      </c>
    </row>
    <row r="30" ht="15.75" customHeight="1">
      <c r="A30" s="8" t="s">
        <v>39</v>
      </c>
      <c r="B30" s="9">
        <f>IFERROR(__xludf.DUMMYFUNCTION("vlookup(A30,importrange(""https://docs.google.com/spreadsheets/d/1arpJoJSlKHkJ-Zn4sJxqp3okt8tUTIYCnkob2xnYiCU/edit?usp=sharing"",""Jan 2026!$A:$AH""),34,0)+vlookup(A30,importrange(""https://docs.google.com/spreadsheets/d/1arpJoJSlKHkJ-Zn4sJxqp3okt8tUTIYCn"&amp;"kob2xnYiCU/edit?usp=sharing"",""Feb 2026!$A:$AH""),34,0)+vlookup(A30,importrange(""https://docs.google.com/spreadsheets/d/1arpJoJSlKHkJ-Zn4sJxqp3okt8tUTIYCnkob2xnYiCU/edit?usp=sharing"",""Mar 2026!$A:$AH""),34,0)+vlookup(A30,importrange(""https://docs.goo"&amp;"gle.com/spreadsheets/d/1arpJoJSlKHkJ-Zn4sJxqp3okt8tUTIYCnkob2xnYiCU/edit?usp=sharing"",""Apr 2026!$A:$AH""),34,0)+vlookup(A30,importrange(""https://docs.google.com/spreadsheets/d/1arpJoJSlKHkJ-Zn4sJxqp3okt8tUTIYCnkob2xnYiCU/edit?usp=sharing"",""May 2026!$"&amp;"A:$AH""),34,0)+vlookup(A30,importrange(""https://docs.google.com/spreadsheets/d/1arpJoJSlKHkJ-Zn4sJxqp3okt8tUTIYCnkob2xnYiCU/edit?usp=sharing"",""June 2026!$A:$AH""),34,0)+vlookup(A30,importrange(""https://docs.google.com/spreadsheets/d/1arpJoJSlKHkJ-Zn4s"&amp;"Jxqp3okt8tUTIYCnkob2xnYiCU/edit?usp=sharing"",""Current Month!$A:$AH""),34,0)"),1.0)</f>
        <v>1</v>
      </c>
      <c r="C30" s="9">
        <f>IFERROR(__xludf.DUMMYFUNCTION("vlookup(A30,importrange(""https://docs.google.com/spreadsheets/d/1arpJoJSlKHkJ-Zn4sJxqp3okt8tUTIYCnkob2xnYiCU/edit?usp=sharing"",""Jan 2026!$A:$AI""),35,0)+vlookup(A30,importrange(""https://docs.google.com/spreadsheets/d/1arpJoJSlKHkJ-Zn4sJxqp3okt8tUTIYCn"&amp;"kob2xnYiCU/edit?usp=sharing"",""Feb 2026!$A:$AI""),35,0)+vlookup(A30,importrange(""https://docs.google.com/spreadsheets/d/1arpJoJSlKHkJ-Zn4sJxqp3okt8tUTIYCnkob2xnYiCU/edit?usp=sharing"",""Mar 2026!$A:$AI""),35,0)+vlookup(A30,importrange(""https://docs.goo"&amp;"gle.com/spreadsheets/d/1arpJoJSlKHkJ-Zn4sJxqp3okt8tUTIYCnkob2xnYiCU/edit?usp=sharing"",""Apr 2026!$A:$AI""),35,0)+vlookup(A30,importrange(""https://docs.google.com/spreadsheets/d/1arpJoJSlKHkJ-Zn4sJxqp3okt8tUTIYCnkob2xnYiCU/edit?usp=sharing"",""May 2026!$"&amp;"A:$AI""),35,0)+vlookup(A30,importrange(""https://docs.google.com/spreadsheets/d/1arpJoJSlKHkJ-Zn4sJxqp3okt8tUTIYCnkob2xnYiCU/edit?usp=sharing"",""June 2026!$A:$AI""),35,0)+vlookup(A30,importrange(""https://docs.google.com/spreadsheets/d/1arpJoJSlKHkJ-Zn4s"&amp;"Jxqp3okt8tUTIYCnkob2xnYiCU/edit?usp=sharing"",""Current Month!$A:$AI""),35,0)"),6.0)</f>
        <v>6</v>
      </c>
      <c r="D30" s="9">
        <f>IFERROR(__xludf.DUMMYFUNCTION("vlookup(A30,importrange(""https://docs.google.com/spreadsheets/d/1arpJoJSlKHkJ-Zn4sJxqp3okt8tUTIYCnkob2xnYiCU/edit?usp=sharing"",""Jan 2026!$A:$AJ""),36,0)+vlookup(A30,importrange(""https://docs.google.com/spreadsheets/d/1arpJoJSlKHkJ-Zn4sJxqp3okt8tUTIYCn"&amp;"kob2xnYiCU/edit?usp=sharing"",""Feb 2026!$A:$AJ""),36,0)+vlookup(A30,importrange(""https://docs.google.com/spreadsheets/d/1arpJoJSlKHkJ-Zn4sJxqp3okt8tUTIYCnkob2xnYiCU/edit?usp=sharing"",""Mar 2026!$A:$AJ""),36,0)+vlookup(A30,importrange(""https://docs.goo"&amp;"gle.com/spreadsheets/d/1arpJoJSlKHkJ-Zn4sJxqp3okt8tUTIYCnkob2xnYiCU/edit?usp=sharing"",""Apr 2026!$A:$AJ""),36,0)+vlookup(A30,importrange(""https://docs.google.com/spreadsheets/d/1arpJoJSlKHkJ-Zn4sJxqp3okt8tUTIYCnkob2xnYiCU/edit?usp=sharing"",""May 2026!$"&amp;"A:$AJ""),36,0)+vlookup(A30,importrange(""https://docs.google.com/spreadsheets/d/1arpJoJSlKHkJ-Zn4sJxqp3okt8tUTIYCnkob2xnYiCU/edit?usp=sharing"",""June 2026!$A:$AJ""),36,0)+vlookup(A30,importrange(""https://docs.google.com/spreadsheets/d/1arpJoJSlKHkJ-Zn4s"&amp;"Jxqp3okt8tUTIYCnkob2xnYiCU/edit?usp=sharing"",""Current Month!$A:$AJ""),36,0)"),0.0)</f>
        <v>0</v>
      </c>
      <c r="E30" s="9">
        <f>IFERROR(__xludf.DUMMYFUNCTION("vlookup(A30,importrange(""https://docs.google.com/spreadsheets/d/1arpJoJSlKHkJ-Zn4sJxqp3okt8tUTIYCnkob2xnYiCU/edit?usp=sharing"",""Jan 2026!$A:$AK""),37,0)+vlookup(A30,importrange(""https://docs.google.com/spreadsheets/d/1arpJoJSlKHkJ-Zn4sJxqp3okt8tUTIYCn"&amp;"kob2xnYiCU/edit?usp=sharing"",""Feb 2026!$A:$AK""),37,0)+vlookup(A30,importrange(""https://docs.google.com/spreadsheets/d/1arpJoJSlKHkJ-Zn4sJxqp3okt8tUTIYCnkob2xnYiCU/edit?usp=sharing"",""Mar 2026!$A:$AK""),37,0)+vlookup(A30,importrange(""https://docs.goo"&amp;"gle.com/spreadsheets/d/1arpJoJSlKHkJ-Zn4sJxqp3okt8tUTIYCnkob2xnYiCU/edit?usp=sharing"",""Apr 2026!$A:$AK""),37,0)+vlookup(A30,importrange(""https://docs.google.com/spreadsheets/d/1arpJoJSlKHkJ-Zn4sJxqp3okt8tUTIYCnkob2xnYiCU/edit?usp=sharing"",""May 2026!$"&amp;"A:$AK""),37,0)+vlookup(A30,importrange(""https://docs.google.com/spreadsheets/d/1arpJoJSlKHkJ-Zn4sJxqp3okt8tUTIYCnkob2xnYiCU/edit?usp=sharing"",""June 2026!$A:$AK""),37,0)+vlookup(A30,importrange(""https://docs.google.com/spreadsheets/d/1arpJoJSlKHkJ-Zn4s"&amp;"Jxqp3okt8tUTIYCnkob2xnYiCU/edit?usp=sharing"",""Current Month!$A:$AK""),37,0)"),0.0)</f>
        <v>0</v>
      </c>
      <c r="F30" s="9">
        <f t="shared" si="1"/>
        <v>2</v>
      </c>
      <c r="G30" s="9">
        <f>IFERROR(__xludf.DUMMYFUNCTION("vlookup(A30,importrange(""https://docs.google.com/spreadsheets/d/1arpJoJSlKHkJ-Zn4sJxqp3okt8tUTIYCnkob2xnYiCU/edit?usp=sharing"",""Jan 2026!$A:$AN""),40,0)+vlookup(A30,importrange(""https://docs.google.com/spreadsheets/d/1arpJoJSlKHkJ-Zn4sJxqp3okt8tUTIYCn"&amp;"kob2xnYiCU/edit?usp=sharing"",""Feb 2026!$A:$AN""),40,0)+vlookup(A30,importrange(""https://docs.google.com/spreadsheets/d/1arpJoJSlKHkJ-Zn4sJxqp3okt8tUTIYCnkob2xnYiCU/edit?usp=sharing"",""Mar 2026!$A:$AN""),40,0)+vlookup(A30,importrange(""https://docs.goo"&amp;"gle.com/spreadsheets/d/1arpJoJSlKHkJ-Zn4sJxqp3okt8tUTIYCnkob2xnYiCU/edit?usp=sharing"",""Apr 2026!$A:$AN""),40,0)+vlookup(A30,importrange(""https://docs.google.com/spreadsheets/d/1arpJoJSlKHkJ-Zn4sJxqp3okt8tUTIYCnkob2xnYiCU/edit?usp=sharing"",""May 2026!$"&amp;"A:$AN""),40,0)+vlookup(A30,importrange(""https://docs.google.com/spreadsheets/d/1arpJoJSlKHkJ-Zn4sJxqp3okt8tUTIYCnkob2xnYiCU/edit?usp=sharing"",""June 2026!$A:$AN""),40,0)+vlookup(A30,importrange(""https://docs.google.com/spreadsheets/d/1arpJoJSlKHkJ-Zn4s"&amp;"Jxqp3okt8tUTIYCnkob2xnYiCU/edit?usp=sharing"",""Current Month!$A:$AN""),40,0)"),2.0)</f>
        <v>2</v>
      </c>
      <c r="H30" s="9">
        <v>12.0</v>
      </c>
      <c r="I30" s="10">
        <f t="shared" si="2"/>
        <v>14</v>
      </c>
      <c r="J30" s="9">
        <f>IFERROR(__xludf.DUMMYFUNCTION("vlookup(A30,importrange(""https://docs.google.com/spreadsheets/d/1arpJoJSlKHkJ-Zn4sJxqp3okt8tUTIYCnkob2xnYiCU/edit?usp=sharing"",""Jan 2026!$A:$AP""),41,0)+vlookup(A30,importrange(""https://docs.google.com/spreadsheets/d/1arpJoJSlKHkJ-Zn4sJxqp3okt8tUTIYCn"&amp;"kob2xnYiCU/edit?usp=sharing"",""Feb 2026!$A:$AP""),41,0)+vlookup(A30,importrange(""https://docs.google.com/spreadsheets/d/1arpJoJSlKHkJ-Zn4sJxqp3okt8tUTIYCnkob2xnYiCU/edit?usp=sharing"",""Mar 2026!$A:$AP""),41,0)+vlookup(A30,importrange(""https://docs.goo"&amp;"gle.com/spreadsheets/d/1arpJoJSlKHkJ-Zn4sJxqp3okt8tUTIYCnkob2xnYiCU/edit?usp=sharing"",""Current Month!$A:$AP""),41,0)"),38.0)</f>
        <v>38</v>
      </c>
      <c r="K30" s="11">
        <f>IFERROR(__xludf.DUMMYFUNCTION("J30/((vlookup(A30,importrange(""https://docs.google.com/spreadsheets/d/1arpJoJSlKHkJ-Zn4sJxqp3okt8tUTIYCnkob2xnYiCU/edit?usp=sharing"",""Jan 2026!$A:$AG""),33,0))+(vlookup(A30,importrange(""https://docs.google.com/spreadsheets/d/1arpJoJSlKHkJ-Zn4sJxqp3okt"&amp;"8tUTIYCnkob2xnYiCU/edit?usp=sharing"",""Feb 2026!$A:$AG""),33,0))+(vlookup(A30,importrange(""https://docs.google.com/spreadsheets/d/1arpJoJSlKHkJ-Zn4sJxqp3okt8tUTIYCnkob2xnYiCU/edit?usp=sharing"",""Mar 2026!$A:$AG""),33,0))+(vlookup(A30,importrange(""http"&amp;"s://docs.google.com/spreadsheets/d/1arpJoJSlKHkJ-Zn4sJxqp3okt8tUTIYCnkob2xnYiCU/edit?usp=sharing"",""Apr 2026!$A:$AG""),33,0))+(vlookup(A30,importrange(""https://docs.google.com/spreadsheets/d/1arpJoJSlKHkJ-Zn4sJxqp3okt8tUTIYCnkob2xnYiCU/edit?usp=sharing"&amp;""",""Current Month!$A:$AG""),33,0)))"),0.40860215053763443)</f>
        <v>0.4086021505</v>
      </c>
      <c r="L30" s="9">
        <f>IFERROR(__xludf.DUMMYFUNCTION("vlookup(A30,importrange(""https://docs.google.com/spreadsheets/d/1arpJoJSlKHkJ-Zn4sJxqp3okt8tUTIYCnkob2xnYiCU/edit?usp=sharing"",""Current Month!$A:$AP""),42,0)+vlookup(A30,importrange(""https://docs.google.com/spreadsheets/d/1arpJoJSlKHkJ-Zn4sJxqp3okt8tU"&amp;"TIYCnkob2xnYiCU/edit?usp=sharing"",""Jan 2026!$A:$AP""),42,0)+vlookup(A30,importrange(""https://docs.google.com/spreadsheets/d/1arpJoJSlKHkJ-Zn4sJxqp3okt8tUTIYCnkob2xnYiCU/edit?usp=sharing"",""Feb 2026!$A:$AP""),42,0)+vlookup(A30,importrange(""https://doc"&amp;"s.google.com/spreadsheets/d/1arpJoJSlKHkJ-Zn4sJxqp3okt8tUTIYCnkob2xnYiCU/edit?usp=sharing"",""Mar 2026!$A:$AP""),42,0)+vlookup(A30,importrange(""https://docs.google.com/spreadsheets/d/1arpJoJSlKHkJ-Zn4sJxqp3okt8tUTIYCnkob2xnYiCU/edit?usp=sharing"",""Apr 2"&amp;"026!$A:$AP""),42,0)"),6.0)</f>
        <v>6</v>
      </c>
    </row>
    <row r="31" ht="15.75" customHeight="1">
      <c r="A31" s="8" t="s">
        <v>40</v>
      </c>
      <c r="B31" s="9">
        <f>IFERROR(__xludf.DUMMYFUNCTION("vlookup(A31,importrange(""https://docs.google.com/spreadsheets/d/1arpJoJSlKHkJ-Zn4sJxqp3okt8tUTIYCnkob2xnYiCU/edit?usp=sharing"",""Jan 2026!$A:$AH""),34,0)+vlookup(A31,importrange(""https://docs.google.com/spreadsheets/d/1arpJoJSlKHkJ-Zn4sJxqp3okt8tUTIYCn"&amp;"kob2xnYiCU/edit?usp=sharing"",""Feb 2026!$A:$AH""),34,0)+vlookup(A31,importrange(""https://docs.google.com/spreadsheets/d/1arpJoJSlKHkJ-Zn4sJxqp3okt8tUTIYCnkob2xnYiCU/edit?usp=sharing"",""Mar 2026!$A:$AH""),34,0)+vlookup(A31,importrange(""https://docs.goo"&amp;"gle.com/spreadsheets/d/1arpJoJSlKHkJ-Zn4sJxqp3okt8tUTIYCnkob2xnYiCU/edit?usp=sharing"",""Apr 2026!$A:$AH""),34,0)+vlookup(A31,importrange(""https://docs.google.com/spreadsheets/d/1arpJoJSlKHkJ-Zn4sJxqp3okt8tUTIYCnkob2xnYiCU/edit?usp=sharing"",""May 2026!$"&amp;"A:$AH""),34,0)+vlookup(A31,importrange(""https://docs.google.com/spreadsheets/d/1arpJoJSlKHkJ-Zn4sJxqp3okt8tUTIYCnkob2xnYiCU/edit?usp=sharing"",""June 2026!$A:$AH""),34,0)+vlookup(A31,importrange(""https://docs.google.com/spreadsheets/d/1arpJoJSlKHkJ-Zn4s"&amp;"Jxqp3okt8tUTIYCnkob2xnYiCU/edit?usp=sharing"",""Current Month!$A:$AH""),34,0)"),12.0)</f>
        <v>12</v>
      </c>
      <c r="C31" s="9">
        <f>IFERROR(__xludf.DUMMYFUNCTION("vlookup(A31,importrange(""https://docs.google.com/spreadsheets/d/1arpJoJSlKHkJ-Zn4sJxqp3okt8tUTIYCnkob2xnYiCU/edit?usp=sharing"",""Jan 2026!$A:$AI""),35,0)+vlookup(A31,importrange(""https://docs.google.com/spreadsheets/d/1arpJoJSlKHkJ-Zn4sJxqp3okt8tUTIYCn"&amp;"kob2xnYiCU/edit?usp=sharing"",""Feb 2026!$A:$AI""),35,0)+vlookup(A31,importrange(""https://docs.google.com/spreadsheets/d/1arpJoJSlKHkJ-Zn4sJxqp3okt8tUTIYCnkob2xnYiCU/edit?usp=sharing"",""Mar 2026!$A:$AI""),35,0)+vlookup(A31,importrange(""https://docs.goo"&amp;"gle.com/spreadsheets/d/1arpJoJSlKHkJ-Zn4sJxqp3okt8tUTIYCnkob2xnYiCU/edit?usp=sharing"",""Apr 2026!$A:$AI""),35,0)+vlookup(A31,importrange(""https://docs.google.com/spreadsheets/d/1arpJoJSlKHkJ-Zn4sJxqp3okt8tUTIYCnkob2xnYiCU/edit?usp=sharing"",""May 2026!$"&amp;"A:$AI""),35,0)+vlookup(A31,importrange(""https://docs.google.com/spreadsheets/d/1arpJoJSlKHkJ-Zn4sJxqp3okt8tUTIYCnkob2xnYiCU/edit?usp=sharing"",""June 2026!$A:$AI""),35,0)+vlookup(A31,importrange(""https://docs.google.com/spreadsheets/d/1arpJoJSlKHkJ-Zn4s"&amp;"Jxqp3okt8tUTIYCnkob2xnYiCU/edit?usp=sharing"",""Current Month!$A:$AI""),35,0)"),2.0)</f>
        <v>2</v>
      </c>
      <c r="D31" s="9">
        <f>IFERROR(__xludf.DUMMYFUNCTION("vlookup(A31,importrange(""https://docs.google.com/spreadsheets/d/1arpJoJSlKHkJ-Zn4sJxqp3okt8tUTIYCnkob2xnYiCU/edit?usp=sharing"",""Jan 2026!$A:$AJ""),36,0)+vlookup(A31,importrange(""https://docs.google.com/spreadsheets/d/1arpJoJSlKHkJ-Zn4sJxqp3okt8tUTIYCn"&amp;"kob2xnYiCU/edit?usp=sharing"",""Feb 2026!$A:$AJ""),36,0)+vlookup(A31,importrange(""https://docs.google.com/spreadsheets/d/1arpJoJSlKHkJ-Zn4sJxqp3okt8tUTIYCnkob2xnYiCU/edit?usp=sharing"",""Mar 2026!$A:$AJ""),36,0)+vlookup(A31,importrange(""https://docs.goo"&amp;"gle.com/spreadsheets/d/1arpJoJSlKHkJ-Zn4sJxqp3okt8tUTIYCnkob2xnYiCU/edit?usp=sharing"",""Apr 2026!$A:$AJ""),36,0)+vlookup(A31,importrange(""https://docs.google.com/spreadsheets/d/1arpJoJSlKHkJ-Zn4sJxqp3okt8tUTIYCnkob2xnYiCU/edit?usp=sharing"",""May 2026!$"&amp;"A:$AJ""),36,0)+vlookup(A31,importrange(""https://docs.google.com/spreadsheets/d/1arpJoJSlKHkJ-Zn4sJxqp3okt8tUTIYCnkob2xnYiCU/edit?usp=sharing"",""June 2026!$A:$AJ""),36,0)+vlookup(A31,importrange(""https://docs.google.com/spreadsheets/d/1arpJoJSlKHkJ-Zn4s"&amp;"Jxqp3okt8tUTIYCnkob2xnYiCU/edit?usp=sharing"",""Current Month!$A:$AJ""),36,0)"),0.0)</f>
        <v>0</v>
      </c>
      <c r="E31" s="9">
        <f>IFERROR(__xludf.DUMMYFUNCTION("vlookup(A31,importrange(""https://docs.google.com/spreadsheets/d/1arpJoJSlKHkJ-Zn4sJxqp3okt8tUTIYCnkob2xnYiCU/edit?usp=sharing"",""Jan 2026!$A:$AK""),37,0)+vlookup(A31,importrange(""https://docs.google.com/spreadsheets/d/1arpJoJSlKHkJ-Zn4sJxqp3okt8tUTIYCn"&amp;"kob2xnYiCU/edit?usp=sharing"",""Feb 2026!$A:$AK""),37,0)+vlookup(A31,importrange(""https://docs.google.com/spreadsheets/d/1arpJoJSlKHkJ-Zn4sJxqp3okt8tUTIYCnkob2xnYiCU/edit?usp=sharing"",""Mar 2026!$A:$AK""),37,0)+vlookup(A31,importrange(""https://docs.goo"&amp;"gle.com/spreadsheets/d/1arpJoJSlKHkJ-Zn4sJxqp3okt8tUTIYCnkob2xnYiCU/edit?usp=sharing"",""Apr 2026!$A:$AK""),37,0)+vlookup(A31,importrange(""https://docs.google.com/spreadsheets/d/1arpJoJSlKHkJ-Zn4sJxqp3okt8tUTIYCnkob2xnYiCU/edit?usp=sharing"",""May 2026!$"&amp;"A:$AK""),37,0)+vlookup(A31,importrange(""https://docs.google.com/spreadsheets/d/1arpJoJSlKHkJ-Zn4sJxqp3okt8tUTIYCnkob2xnYiCU/edit?usp=sharing"",""June 2026!$A:$AK""),37,0)+vlookup(A31,importrange(""https://docs.google.com/spreadsheets/d/1arpJoJSlKHkJ-Zn4s"&amp;"Jxqp3okt8tUTIYCnkob2xnYiCU/edit?usp=sharing"",""Current Month!$A:$AK""),37,0)"),0.0)</f>
        <v>0</v>
      </c>
      <c r="F31" s="9">
        <f t="shared" si="1"/>
        <v>4</v>
      </c>
      <c r="G31" s="9">
        <f>IFERROR(__xludf.DUMMYFUNCTION("vlookup(A31,importrange(""https://docs.google.com/spreadsheets/d/1arpJoJSlKHkJ-Zn4sJxqp3okt8tUTIYCnkob2xnYiCU/edit?usp=sharing"",""Jan 2026!$A:$AN""),40,0)+vlookup(A31,importrange(""https://docs.google.com/spreadsheets/d/1arpJoJSlKHkJ-Zn4sJxqp3okt8tUTIYCn"&amp;"kob2xnYiCU/edit?usp=sharing"",""Feb 2026!$A:$AN""),40,0)+vlookup(A31,importrange(""https://docs.google.com/spreadsheets/d/1arpJoJSlKHkJ-Zn4sJxqp3okt8tUTIYCnkob2xnYiCU/edit?usp=sharing"",""Mar 2026!$A:$AN""),40,0)+vlookup(A31,importrange(""https://docs.goo"&amp;"gle.com/spreadsheets/d/1arpJoJSlKHkJ-Zn4sJxqp3okt8tUTIYCnkob2xnYiCU/edit?usp=sharing"",""Apr 2026!$A:$AN""),40,0)+vlookup(A31,importrange(""https://docs.google.com/spreadsheets/d/1arpJoJSlKHkJ-Zn4sJxqp3okt8tUTIYCnkob2xnYiCU/edit?usp=sharing"",""May 2026!$"&amp;"A:$AN""),40,0)+vlookup(A31,importrange(""https://docs.google.com/spreadsheets/d/1arpJoJSlKHkJ-Zn4sJxqp3okt8tUTIYCnkob2xnYiCU/edit?usp=sharing"",""June 2026!$A:$AN""),40,0)+vlookup(A31,importrange(""https://docs.google.com/spreadsheets/d/1arpJoJSlKHkJ-Zn4s"&amp;"Jxqp3okt8tUTIYCnkob2xnYiCU/edit?usp=sharing"",""Current Month!$A:$AN""),40,0)"),0.0)</f>
        <v>0</v>
      </c>
      <c r="H31" s="9">
        <v>12.0</v>
      </c>
      <c r="I31" s="10">
        <f t="shared" si="2"/>
        <v>7</v>
      </c>
      <c r="J31" s="9">
        <f>IFERROR(__xludf.DUMMYFUNCTION("vlookup(A31,importrange(""https://docs.google.com/spreadsheets/d/1arpJoJSlKHkJ-Zn4sJxqp3okt8tUTIYCnkob2xnYiCU/edit?usp=sharing"",""Jan 2026!$A:$AP""),41,0)+vlookup(A31,importrange(""https://docs.google.com/spreadsheets/d/1arpJoJSlKHkJ-Zn4sJxqp3okt8tUTIYCn"&amp;"kob2xnYiCU/edit?usp=sharing"",""Feb 2026!$A:$AP""),41,0)+vlookup(A31,importrange(""https://docs.google.com/spreadsheets/d/1arpJoJSlKHkJ-Zn4sJxqp3okt8tUTIYCnkob2xnYiCU/edit?usp=sharing"",""Mar 2026!$A:$AP""),41,0)+vlookup(A31,importrange(""https://docs.goo"&amp;"gle.com/spreadsheets/d/1arpJoJSlKHkJ-Zn4sJxqp3okt8tUTIYCnkob2xnYiCU/edit?usp=sharing"",""Current Month!$A:$AP""),41,0)"),7.0)</f>
        <v>7</v>
      </c>
      <c r="K31" s="11">
        <f>IFERROR(__xludf.DUMMYFUNCTION("J31/((vlookup(A31,importrange(""https://docs.google.com/spreadsheets/d/1arpJoJSlKHkJ-Zn4sJxqp3okt8tUTIYCnkob2xnYiCU/edit?usp=sharing"",""Jan 2026!$A:$AG""),33,0))+(vlookup(A31,importrange(""https://docs.google.com/spreadsheets/d/1arpJoJSlKHkJ-Zn4sJxqp3okt"&amp;"8tUTIYCnkob2xnYiCU/edit?usp=sharing"",""Feb 2026!$A:$AG""),33,0))+(vlookup(A31,importrange(""https://docs.google.com/spreadsheets/d/1arpJoJSlKHkJ-Zn4sJxqp3okt8tUTIYCnkob2xnYiCU/edit?usp=sharing"",""Mar 2026!$A:$AG""),33,0))+(vlookup(A31,importrange(""http"&amp;"s://docs.google.com/spreadsheets/d/1arpJoJSlKHkJ-Zn4sJxqp3okt8tUTIYCnkob2xnYiCU/edit?usp=sharing"",""Apr 2026!$A:$AG""),33,0))+(vlookup(A31,importrange(""https://docs.google.com/spreadsheets/d/1arpJoJSlKHkJ-Zn4sJxqp3okt8tUTIYCnkob2xnYiCU/edit?usp=sharing"&amp;""",""Current Month!$A:$AG""),33,0)))"),0.07291666666666667)</f>
        <v>0.07291666667</v>
      </c>
      <c r="L31" s="9">
        <f>IFERROR(__xludf.DUMMYFUNCTION("vlookup(A31,importrange(""https://docs.google.com/spreadsheets/d/1arpJoJSlKHkJ-Zn4sJxqp3okt8tUTIYCnkob2xnYiCU/edit?usp=sharing"",""Current Month!$A:$AP""),42,0)+vlookup(A31,importrange(""https://docs.google.com/spreadsheets/d/1arpJoJSlKHkJ-Zn4sJxqp3okt8tU"&amp;"TIYCnkob2xnYiCU/edit?usp=sharing"",""Jan 2026!$A:$AP""),42,0)+vlookup(A31,importrange(""https://docs.google.com/spreadsheets/d/1arpJoJSlKHkJ-Zn4sJxqp3okt8tUTIYCnkob2xnYiCU/edit?usp=sharing"",""Feb 2026!$A:$AP""),42,0)+vlookup(A31,importrange(""https://doc"&amp;"s.google.com/spreadsheets/d/1arpJoJSlKHkJ-Zn4sJxqp3okt8tUTIYCnkob2xnYiCU/edit?usp=sharing"",""Mar 2026!$A:$AP""),42,0)+vlookup(A31,importrange(""https://docs.google.com/spreadsheets/d/1arpJoJSlKHkJ-Zn4sJxqp3okt8tUTIYCnkob2xnYiCU/edit?usp=sharing"",""Apr 2"&amp;"026!$A:$AP""),42,0)"),1.0)</f>
        <v>1</v>
      </c>
    </row>
    <row r="32" ht="15.75" customHeight="1">
      <c r="A32" s="8" t="s">
        <v>41</v>
      </c>
      <c r="B32" s="9">
        <f>IFERROR(__xludf.DUMMYFUNCTION("vlookup(A32,importrange(""https://docs.google.com/spreadsheets/d/1arpJoJSlKHkJ-Zn4sJxqp3okt8tUTIYCnkob2xnYiCU/edit?usp=sharing"",""Jan 2026!$A:$AH""),34,0)+vlookup(A32,importrange(""https://docs.google.com/spreadsheets/d/1arpJoJSlKHkJ-Zn4sJxqp3okt8tUTIYCn"&amp;"kob2xnYiCU/edit?usp=sharing"",""Feb 2026!$A:$AH""),34,0)+vlookup(A32,importrange(""https://docs.google.com/spreadsheets/d/1arpJoJSlKHkJ-Zn4sJxqp3okt8tUTIYCnkob2xnYiCU/edit?usp=sharing"",""Mar 2026!$A:$AH""),34,0)+vlookup(A32,importrange(""https://docs.goo"&amp;"gle.com/spreadsheets/d/1arpJoJSlKHkJ-Zn4sJxqp3okt8tUTIYCnkob2xnYiCU/edit?usp=sharing"",""Apr 2026!$A:$AH""),34,0)+vlookup(A32,importrange(""https://docs.google.com/spreadsheets/d/1arpJoJSlKHkJ-Zn4sJxqp3okt8tUTIYCnkob2xnYiCU/edit?usp=sharing"",""May 2026!$"&amp;"A:$AH""),34,0)+vlookup(A32,importrange(""https://docs.google.com/spreadsheets/d/1arpJoJSlKHkJ-Zn4sJxqp3okt8tUTIYCnkob2xnYiCU/edit?usp=sharing"",""June 2026!$A:$AH""),34,0)+vlookup(A32,importrange(""https://docs.google.com/spreadsheets/d/1arpJoJSlKHkJ-Zn4s"&amp;"Jxqp3okt8tUTIYCnkob2xnYiCU/edit?usp=sharing"",""Current Month!$A:$AH""),34,0)"),11.0)</f>
        <v>11</v>
      </c>
      <c r="C32" s="9">
        <f>IFERROR(__xludf.DUMMYFUNCTION("vlookup(A32,importrange(""https://docs.google.com/spreadsheets/d/1arpJoJSlKHkJ-Zn4sJxqp3okt8tUTIYCnkob2xnYiCU/edit?usp=sharing"",""Jan 2026!$A:$AI""),35,0)+vlookup(A32,importrange(""https://docs.google.com/spreadsheets/d/1arpJoJSlKHkJ-Zn4sJxqp3okt8tUTIYCn"&amp;"kob2xnYiCU/edit?usp=sharing"",""Feb 2026!$A:$AI""),35,0)+vlookup(A32,importrange(""https://docs.google.com/spreadsheets/d/1arpJoJSlKHkJ-Zn4sJxqp3okt8tUTIYCnkob2xnYiCU/edit?usp=sharing"",""Mar 2026!$A:$AI""),35,0)+vlookup(A32,importrange(""https://docs.goo"&amp;"gle.com/spreadsheets/d/1arpJoJSlKHkJ-Zn4sJxqp3okt8tUTIYCnkob2xnYiCU/edit?usp=sharing"",""Apr 2026!$A:$AI""),35,0)+vlookup(A32,importrange(""https://docs.google.com/spreadsheets/d/1arpJoJSlKHkJ-Zn4sJxqp3okt8tUTIYCnkob2xnYiCU/edit?usp=sharing"",""May 2026!$"&amp;"A:$AI""),35,0)+vlookup(A32,importrange(""https://docs.google.com/spreadsheets/d/1arpJoJSlKHkJ-Zn4sJxqp3okt8tUTIYCnkob2xnYiCU/edit?usp=sharing"",""June 2026!$A:$AI""),35,0)+vlookup(A32,importrange(""https://docs.google.com/spreadsheets/d/1arpJoJSlKHkJ-Zn4s"&amp;"Jxqp3okt8tUTIYCnkob2xnYiCU/edit?usp=sharing"",""Current Month!$A:$AI""),35,0)"),3.0)</f>
        <v>3</v>
      </c>
      <c r="D32" s="9">
        <f>IFERROR(__xludf.DUMMYFUNCTION("vlookup(A32,importrange(""https://docs.google.com/spreadsheets/d/1arpJoJSlKHkJ-Zn4sJxqp3okt8tUTIYCnkob2xnYiCU/edit?usp=sharing"",""Jan 2026!$A:$AJ""),36,0)+vlookup(A32,importrange(""https://docs.google.com/spreadsheets/d/1arpJoJSlKHkJ-Zn4sJxqp3okt8tUTIYCn"&amp;"kob2xnYiCU/edit?usp=sharing"",""Feb 2026!$A:$AJ""),36,0)+vlookup(A32,importrange(""https://docs.google.com/spreadsheets/d/1arpJoJSlKHkJ-Zn4sJxqp3okt8tUTIYCnkob2xnYiCU/edit?usp=sharing"",""Mar 2026!$A:$AJ""),36,0)+vlookup(A32,importrange(""https://docs.goo"&amp;"gle.com/spreadsheets/d/1arpJoJSlKHkJ-Zn4sJxqp3okt8tUTIYCnkob2xnYiCU/edit?usp=sharing"",""Apr 2026!$A:$AJ""),36,0)+vlookup(A32,importrange(""https://docs.google.com/spreadsheets/d/1arpJoJSlKHkJ-Zn4sJxqp3okt8tUTIYCnkob2xnYiCU/edit?usp=sharing"",""May 2026!$"&amp;"A:$AJ""),36,0)+vlookup(A32,importrange(""https://docs.google.com/spreadsheets/d/1arpJoJSlKHkJ-Zn4sJxqp3okt8tUTIYCnkob2xnYiCU/edit?usp=sharing"",""June 2026!$A:$AJ""),36,0)+vlookup(A32,importrange(""https://docs.google.com/spreadsheets/d/1arpJoJSlKHkJ-Zn4s"&amp;"Jxqp3okt8tUTIYCnkob2xnYiCU/edit?usp=sharing"",""Current Month!$A:$AJ""),36,0)"),0.0)</f>
        <v>0</v>
      </c>
      <c r="E32" s="9">
        <f>IFERROR(__xludf.DUMMYFUNCTION("vlookup(A32,importrange(""https://docs.google.com/spreadsheets/d/1arpJoJSlKHkJ-Zn4sJxqp3okt8tUTIYCnkob2xnYiCU/edit?usp=sharing"",""Jan 2026!$A:$AK""),37,0)+vlookup(A32,importrange(""https://docs.google.com/spreadsheets/d/1arpJoJSlKHkJ-Zn4sJxqp3okt8tUTIYCn"&amp;"kob2xnYiCU/edit?usp=sharing"",""Feb 2026!$A:$AK""),37,0)+vlookup(A32,importrange(""https://docs.google.com/spreadsheets/d/1arpJoJSlKHkJ-Zn4sJxqp3okt8tUTIYCnkob2xnYiCU/edit?usp=sharing"",""Mar 2026!$A:$AK""),37,0)+vlookup(A32,importrange(""https://docs.goo"&amp;"gle.com/spreadsheets/d/1arpJoJSlKHkJ-Zn4sJxqp3okt8tUTIYCnkob2xnYiCU/edit?usp=sharing"",""Apr 2026!$A:$AK""),37,0)+vlookup(A32,importrange(""https://docs.google.com/spreadsheets/d/1arpJoJSlKHkJ-Zn4sJxqp3okt8tUTIYCnkob2xnYiCU/edit?usp=sharing"",""May 2026!$"&amp;"A:$AK""),37,0)+vlookup(A32,importrange(""https://docs.google.com/spreadsheets/d/1arpJoJSlKHkJ-Zn4sJxqp3okt8tUTIYCnkob2xnYiCU/edit?usp=sharing"",""June 2026!$A:$AK""),37,0)+vlookup(A32,importrange(""https://docs.google.com/spreadsheets/d/1arpJoJSlKHkJ-Zn4s"&amp;"Jxqp3okt8tUTIYCnkob2xnYiCU/edit?usp=sharing"",""Current Month!$A:$AK""),37,0)"),0.0)</f>
        <v>0</v>
      </c>
      <c r="F32" s="9">
        <f t="shared" si="1"/>
        <v>3</v>
      </c>
      <c r="G32" s="9">
        <f>IFERROR(__xludf.DUMMYFUNCTION("vlookup(A32,importrange(""https://docs.google.com/spreadsheets/d/1arpJoJSlKHkJ-Zn4sJxqp3okt8tUTIYCnkob2xnYiCU/edit?usp=sharing"",""Jan 2026!$A:$AN""),40,0)+vlookup(A32,importrange(""https://docs.google.com/spreadsheets/d/1arpJoJSlKHkJ-Zn4sJxqp3okt8tUTIYCn"&amp;"kob2xnYiCU/edit?usp=sharing"",""Feb 2026!$A:$AN""),40,0)+vlookup(A32,importrange(""https://docs.google.com/spreadsheets/d/1arpJoJSlKHkJ-Zn4sJxqp3okt8tUTIYCnkob2xnYiCU/edit?usp=sharing"",""Mar 2026!$A:$AN""),40,0)+vlookup(A32,importrange(""https://docs.goo"&amp;"gle.com/spreadsheets/d/1arpJoJSlKHkJ-Zn4sJxqp3okt8tUTIYCnkob2xnYiCU/edit?usp=sharing"",""Apr 2026!$A:$AN""),40,0)+vlookup(A32,importrange(""https://docs.google.com/spreadsheets/d/1arpJoJSlKHkJ-Zn4sJxqp3okt8tUTIYCnkob2xnYiCU/edit?usp=sharing"",""May 2026!$"&amp;"A:$AN""),40,0)+vlookup(A32,importrange(""https://docs.google.com/spreadsheets/d/1arpJoJSlKHkJ-Zn4sJxqp3okt8tUTIYCnkob2xnYiCU/edit?usp=sharing"",""June 2026!$A:$AN""),40,0)+vlookup(A32,importrange(""https://docs.google.com/spreadsheets/d/1arpJoJSlKHkJ-Zn4s"&amp;"Jxqp3okt8tUTIYCnkob2xnYiCU/edit?usp=sharing"",""Current Month!$A:$AN""),40,0)"),1.0)</f>
        <v>1</v>
      </c>
      <c r="H32" s="9">
        <v>12.0</v>
      </c>
      <c r="I32" s="10">
        <f t="shared" si="2"/>
        <v>7</v>
      </c>
      <c r="J32" s="9">
        <f>IFERROR(__xludf.DUMMYFUNCTION("vlookup(A32,importrange(""https://docs.google.com/spreadsheets/d/1arpJoJSlKHkJ-Zn4sJxqp3okt8tUTIYCnkob2xnYiCU/edit?usp=sharing"",""Jan 2026!$A:$AP""),41,0)+vlookup(A32,importrange(""https://docs.google.com/spreadsheets/d/1arpJoJSlKHkJ-Zn4sJxqp3okt8tUTIYCn"&amp;"kob2xnYiCU/edit?usp=sharing"",""Feb 2026!$A:$AP""),41,0)+vlookup(A32,importrange(""https://docs.google.com/spreadsheets/d/1arpJoJSlKHkJ-Zn4sJxqp3okt8tUTIYCnkob2xnYiCU/edit?usp=sharing"",""Mar 2026!$A:$AP""),41,0)+vlookup(A32,importrange(""https://docs.goo"&amp;"gle.com/spreadsheets/d/1arpJoJSlKHkJ-Zn4sJxqp3okt8tUTIYCnkob2xnYiCU/edit?usp=sharing"",""Current Month!$A:$AP""),41,0)"),3.0)</f>
        <v>3</v>
      </c>
      <c r="K32" s="11">
        <f>IFERROR(__xludf.DUMMYFUNCTION("J32/((vlookup(A32,importrange(""https://docs.google.com/spreadsheets/d/1arpJoJSlKHkJ-Zn4sJxqp3okt8tUTIYCnkob2xnYiCU/edit?usp=sharing"",""Jan 2026!$A:$AG""),33,0))+(vlookup(A32,importrange(""https://docs.google.com/spreadsheets/d/1arpJoJSlKHkJ-Zn4sJxqp3okt"&amp;"8tUTIYCnkob2xnYiCU/edit?usp=sharing"",""Feb 2026!$A:$AG""),33,0))+(vlookup(A32,importrange(""https://docs.google.com/spreadsheets/d/1arpJoJSlKHkJ-Zn4sJxqp3okt8tUTIYCnkob2xnYiCU/edit?usp=sharing"",""Mar 2026!$A:$AG""),33,0))+(vlookup(A32,importrange(""http"&amp;"s://docs.google.com/spreadsheets/d/1arpJoJSlKHkJ-Zn4sJxqp3okt8tUTIYCnkob2xnYiCU/edit?usp=sharing"",""Apr 2026!$A:$AG""),33,0))+(vlookup(A32,importrange(""https://docs.google.com/spreadsheets/d/1arpJoJSlKHkJ-Zn4sJxqp3okt8tUTIYCnkob2xnYiCU/edit?usp=sharing"&amp;""",""Current Month!$A:$AG""),33,0)))"),0.03260869565217391)</f>
        <v>0.03260869565</v>
      </c>
      <c r="L32" s="9">
        <f>IFERROR(__xludf.DUMMYFUNCTION("vlookup(A32,importrange(""https://docs.google.com/spreadsheets/d/1arpJoJSlKHkJ-Zn4sJxqp3okt8tUTIYCnkob2xnYiCU/edit?usp=sharing"",""Current Month!$A:$AP""),42,0)+vlookup(A32,importrange(""https://docs.google.com/spreadsheets/d/1arpJoJSlKHkJ-Zn4sJxqp3okt8tU"&amp;"TIYCnkob2xnYiCU/edit?usp=sharing"",""Jan 2026!$A:$AP""),42,0)+vlookup(A32,importrange(""https://docs.google.com/spreadsheets/d/1arpJoJSlKHkJ-Zn4sJxqp3okt8tUTIYCnkob2xnYiCU/edit?usp=sharing"",""Feb 2026!$A:$AP""),42,0)+vlookup(A32,importrange(""https://doc"&amp;"s.google.com/spreadsheets/d/1arpJoJSlKHkJ-Zn4sJxqp3okt8tUTIYCnkob2xnYiCU/edit?usp=sharing"",""Mar 2026!$A:$AP""),42,0)+vlookup(A32,importrange(""https://docs.google.com/spreadsheets/d/1arpJoJSlKHkJ-Zn4sJxqp3okt8tUTIYCnkob2xnYiCU/edit?usp=sharing"",""Apr 2"&amp;"026!$A:$AP""),42,0)"),0.0)</f>
        <v>0</v>
      </c>
    </row>
    <row r="33" ht="15.75" hidden="1" customHeight="1">
      <c r="A33" s="8" t="s">
        <v>42</v>
      </c>
      <c r="B33" s="9">
        <f>IFERROR(__xludf.DUMMYFUNCTION("vlookup(A33,importrange(""https://docs.google.com/spreadsheets/d/1arpJoJSlKHkJ-Zn4sJxqp3okt8tUTIYCnkob2xnYiCU/edit?usp=sharing"",""Jan 2026!$A:$AH""),34,0)+vlookup(A33,importrange(""https://docs.google.com/spreadsheets/d/1arpJoJSlKHkJ-Zn4sJxqp3okt8tUTIYCn"&amp;"kob2xnYiCU/edit?usp=sharing"",""Feb 2026!$A:$AH""),34,0)+vlookup(A33,importrange(""https://docs.google.com/spreadsheets/d/1arpJoJSlKHkJ-Zn4sJxqp3okt8tUTIYCnkob2xnYiCU/edit?usp=sharing"",""Mar 2026!$A:$AH""),34,0)+vlookup(A33,importrange(""https://docs.goo"&amp;"gle.com/spreadsheets/d/1arpJoJSlKHkJ-Zn4sJxqp3okt8tUTIYCnkob2xnYiCU/edit?usp=sharing"",""Apr 2026!$A:$AH""),34,0)+vlookup(A33,importrange(""https://docs.google.com/spreadsheets/d/1arpJoJSlKHkJ-Zn4sJxqp3okt8tUTIYCnkob2xnYiCU/edit?usp=sharing"",""May 2026!$"&amp;"A:$AH""),34,0)+vlookup(A33,importrange(""https://docs.google.com/spreadsheets/d/1arpJoJSlKHkJ-Zn4sJxqp3okt8tUTIYCnkob2xnYiCU/edit?usp=sharing"",""June 2026!$A:$AH""),34,0)+vlookup(A33,importrange(""https://docs.google.com/spreadsheets/d/1arpJoJSlKHkJ-Zn4s"&amp;"Jxqp3okt8tUTIYCnkob2xnYiCU/edit?usp=sharing"",""Current Month!$A:$AH""),34,0)"),0.0)</f>
        <v>0</v>
      </c>
      <c r="C33" s="9">
        <f>IFERROR(__xludf.DUMMYFUNCTION("vlookup(A33,importrange(""https://docs.google.com/spreadsheets/d/1arpJoJSlKHkJ-Zn4sJxqp3okt8tUTIYCnkob2xnYiCU/edit?usp=sharing"",""Jan 2026!$A:$AI""),35,0)+vlookup(A33,importrange(""https://docs.google.com/spreadsheets/d/1arpJoJSlKHkJ-Zn4sJxqp3okt8tUTIYCn"&amp;"kob2xnYiCU/edit?usp=sharing"",""Feb 2026!$A:$AI""),35,0)+vlookup(A33,importrange(""https://docs.google.com/spreadsheets/d/1arpJoJSlKHkJ-Zn4sJxqp3okt8tUTIYCnkob2xnYiCU/edit?usp=sharing"",""Mar 2026!$A:$AI""),35,0)+vlookup(A33,importrange(""https://docs.goo"&amp;"gle.com/spreadsheets/d/1arpJoJSlKHkJ-Zn4sJxqp3okt8tUTIYCnkob2xnYiCU/edit?usp=sharing"",""Apr 2026!$A:$AI""),35,0)+vlookup(A33,importrange(""https://docs.google.com/spreadsheets/d/1arpJoJSlKHkJ-Zn4sJxqp3okt8tUTIYCnkob2xnYiCU/edit?usp=sharing"",""May 2026!$"&amp;"A:$AI""),35,0)+vlookup(A33,importrange(""https://docs.google.com/spreadsheets/d/1arpJoJSlKHkJ-Zn4sJxqp3okt8tUTIYCnkob2xnYiCU/edit?usp=sharing"",""June 2026!$A:$AI""),35,0)+vlookup(A33,importrange(""https://docs.google.com/spreadsheets/d/1arpJoJSlKHkJ-Zn4s"&amp;"Jxqp3okt8tUTIYCnkob2xnYiCU/edit?usp=sharing"",""Current Month!$A:$AI""),35,0)"),1.0)</f>
        <v>1</v>
      </c>
      <c r="D33" s="9">
        <f>IFERROR(__xludf.DUMMYFUNCTION("vlookup(A33,importrange(""https://docs.google.com/spreadsheets/d/1arpJoJSlKHkJ-Zn4sJxqp3okt8tUTIYCnkob2xnYiCU/edit?usp=sharing"",""Jan 2026!$A:$AJ""),36,0)+vlookup(A33,importrange(""https://docs.google.com/spreadsheets/d/1arpJoJSlKHkJ-Zn4sJxqp3okt8tUTIYCn"&amp;"kob2xnYiCU/edit?usp=sharing"",""Feb 2026!$A:$AJ""),36,0)+vlookup(A33,importrange(""https://docs.google.com/spreadsheets/d/1arpJoJSlKHkJ-Zn4sJxqp3okt8tUTIYCnkob2xnYiCU/edit?usp=sharing"",""Mar 2026!$A:$AJ""),36,0)+vlookup(A33,importrange(""https://docs.goo"&amp;"gle.com/spreadsheets/d/1arpJoJSlKHkJ-Zn4sJxqp3okt8tUTIYCnkob2xnYiCU/edit?usp=sharing"",""Apr 2026!$A:$AJ""),36,0)+vlookup(A33,importrange(""https://docs.google.com/spreadsheets/d/1arpJoJSlKHkJ-Zn4sJxqp3okt8tUTIYCnkob2xnYiCU/edit?usp=sharing"",""May 2026!$"&amp;"A:$AJ""),36,0)+vlookup(A33,importrange(""https://docs.google.com/spreadsheets/d/1arpJoJSlKHkJ-Zn4sJxqp3okt8tUTIYCnkob2xnYiCU/edit?usp=sharing"",""June 2026!$A:$AJ""),36,0)+vlookup(A33,importrange(""https://docs.google.com/spreadsheets/d/1arpJoJSlKHkJ-Zn4s"&amp;"Jxqp3okt8tUTIYCnkob2xnYiCU/edit?usp=sharing"",""Current Month!$A:$AJ""),36,0)"),0.0)</f>
        <v>0</v>
      </c>
      <c r="E33" s="9">
        <f>IFERROR(__xludf.DUMMYFUNCTION("vlookup(A33,importrange(""https://docs.google.com/spreadsheets/d/1arpJoJSlKHkJ-Zn4sJxqp3okt8tUTIYCnkob2xnYiCU/edit?usp=sharing"",""Jan 2026!$A:$AK""),37,0)+vlookup(A33,importrange(""https://docs.google.com/spreadsheets/d/1arpJoJSlKHkJ-Zn4sJxqp3okt8tUTIYCn"&amp;"kob2xnYiCU/edit?usp=sharing"",""Feb 2026!$A:$AK""),37,0)+vlookup(A33,importrange(""https://docs.google.com/spreadsheets/d/1arpJoJSlKHkJ-Zn4sJxqp3okt8tUTIYCnkob2xnYiCU/edit?usp=sharing"",""Mar 2026!$A:$AK""),37,0)+vlookup(A33,importrange(""https://docs.goo"&amp;"gle.com/spreadsheets/d/1arpJoJSlKHkJ-Zn4sJxqp3okt8tUTIYCnkob2xnYiCU/edit?usp=sharing"",""Apr 2026!$A:$AK""),37,0)+vlookup(A33,importrange(""https://docs.google.com/spreadsheets/d/1arpJoJSlKHkJ-Zn4sJxqp3okt8tUTIYCnkob2xnYiCU/edit?usp=sharing"",""May 2026!$"&amp;"A:$AK""),37,0)+vlookup(A33,importrange(""https://docs.google.com/spreadsheets/d/1arpJoJSlKHkJ-Zn4sJxqp3okt8tUTIYCnkob2xnYiCU/edit?usp=sharing"",""June 2026!$A:$AK""),37,0)+vlookup(A33,importrange(""https://docs.google.com/spreadsheets/d/1arpJoJSlKHkJ-Zn4s"&amp;"Jxqp3okt8tUTIYCnkob2xnYiCU/edit?usp=sharing"",""Current Month!$A:$AK""),37,0)"),0.0)</f>
        <v>0</v>
      </c>
      <c r="F33" s="9">
        <f t="shared" si="1"/>
        <v>4</v>
      </c>
      <c r="G33" s="9">
        <f>IFERROR(__xludf.DUMMYFUNCTION("vlookup(A33,importrange(""https://docs.google.com/spreadsheets/d/1arpJoJSlKHkJ-Zn4sJxqp3okt8tUTIYCnkob2xnYiCU/edit?usp=sharing"",""Jan 2026!$A:$AN""),40,0)+vlookup(A33,importrange(""https://docs.google.com/spreadsheets/d/1arpJoJSlKHkJ-Zn4sJxqp3okt8tUTIYCn"&amp;"kob2xnYiCU/edit?usp=sharing"",""Feb 2026!$A:$AN""),40,0)+vlookup(A33,importrange(""https://docs.google.com/spreadsheets/d/1arpJoJSlKHkJ-Zn4sJxqp3okt8tUTIYCnkob2xnYiCU/edit?usp=sharing"",""Mar 2026!$A:$AN""),40,0)+vlookup(A33,importrange(""https://docs.goo"&amp;"gle.com/spreadsheets/d/1arpJoJSlKHkJ-Zn4sJxqp3okt8tUTIYCnkob2xnYiCU/edit?usp=sharing"",""Apr 2026!$A:$AN""),40,0)+vlookup(A33,importrange(""https://docs.google.com/spreadsheets/d/1arpJoJSlKHkJ-Zn4sJxqp3okt8tUTIYCnkob2xnYiCU/edit?usp=sharing"",""May 2026!$"&amp;"A:$AN""),40,0)+vlookup(A33,importrange(""https://docs.google.com/spreadsheets/d/1arpJoJSlKHkJ-Zn4sJxqp3okt8tUTIYCnkob2xnYiCU/edit?usp=sharing"",""June 2026!$A:$AN""),40,0)+vlookup(A33,importrange(""https://docs.google.com/spreadsheets/d/1arpJoJSlKHkJ-Zn4s"&amp;"Jxqp3okt8tUTIYCnkob2xnYiCU/edit?usp=sharing"",""Current Month!$A:$AN""),40,0)"),0.0)</f>
        <v>0</v>
      </c>
      <c r="H33" s="9">
        <v>12.0</v>
      </c>
      <c r="I33" s="10">
        <f t="shared" si="2"/>
        <v>20</v>
      </c>
      <c r="J33" s="9">
        <f>IFERROR(__xludf.DUMMYFUNCTION("vlookup(A33,importrange(""https://docs.google.com/spreadsheets/d/1arpJoJSlKHkJ-Zn4sJxqp3okt8tUTIYCnkob2xnYiCU/edit?usp=sharing"",""Jan 2026!$A:$AP""),41,0)+vlookup(A33,importrange(""https://docs.google.com/spreadsheets/d/1arpJoJSlKHkJ-Zn4sJxqp3okt8tUTIYCn"&amp;"kob2xnYiCU/edit?usp=sharing"",""Feb 2026!$A:$AP""),41,0)+vlookup(A33,importrange(""https://docs.google.com/spreadsheets/d/1arpJoJSlKHkJ-Zn4sJxqp3okt8tUTIYCnkob2xnYiCU/edit?usp=sharing"",""Mar 2026!$A:$AP""),41,0)+vlookup(A33,importrange(""https://docs.goo"&amp;"gle.com/spreadsheets/d/1arpJoJSlKHkJ-Zn4sJxqp3okt8tUTIYCnkob2xnYiCU/edit?usp=sharing"",""Current Month!$A:$AP""),41,0)"),4.0)</f>
        <v>4</v>
      </c>
      <c r="K33" s="11">
        <f>IFERROR(__xludf.DUMMYFUNCTION("J33/((vlookup(A33,importrange(""https://docs.google.com/spreadsheets/d/1arpJoJSlKHkJ-Zn4sJxqp3okt8tUTIYCnkob2xnYiCU/edit?usp=sharing"",""Jan 2026!$A:$AG""),33,0))+(vlookup(A33,importrange(""https://docs.google.com/spreadsheets/d/1arpJoJSlKHkJ-Zn4sJxqp3okt"&amp;"8tUTIYCnkob2xnYiCU/edit?usp=sharing"",""Feb 2026!$A:$AG""),33,0))+(vlookup(A33,importrange(""https://docs.google.com/spreadsheets/d/1arpJoJSlKHkJ-Zn4sJxqp3okt8tUTIYCnkob2xnYiCU/edit?usp=sharing"",""Mar 2026!$A:$AG""),33,0))+(vlookup(A33,importrange(""http"&amp;"s://docs.google.com/spreadsheets/d/1arpJoJSlKHkJ-Zn4sJxqp3okt8tUTIYCnkob2xnYiCU/edit?usp=sharing"",""Apr 2026!$A:$AG""),33,0))+(vlookup(A33,importrange(""https://docs.google.com/spreadsheets/d/1arpJoJSlKHkJ-Zn4sJxqp3okt8tUTIYCnkob2xnYiCU/edit?usp=sharing"&amp;""",""Current Month!$A:$AG""),33,0)))"),0.2222222222222222)</f>
        <v>0.2222222222</v>
      </c>
      <c r="L33" s="9">
        <f>IFERROR(__xludf.DUMMYFUNCTION("vlookup(A33,importrange(""https://docs.google.com/spreadsheets/d/1arpJoJSlKHkJ-Zn4sJxqp3okt8tUTIYCnkob2xnYiCU/edit?usp=sharing"",""Current Month!$A:$AP""),42,0)+vlookup(A33,importrange(""https://docs.google.com/spreadsheets/d/1arpJoJSlKHkJ-Zn4sJxqp3okt8tU"&amp;"TIYCnkob2xnYiCU/edit?usp=sharing"",""Jan 2026!$A:$AP""),42,0)+vlookup(A33,importrange(""https://docs.google.com/spreadsheets/d/1arpJoJSlKHkJ-Zn4sJxqp3okt8tUTIYCnkob2xnYiCU/edit?usp=sharing"",""Feb 2026!$A:$AP""),42,0)+vlookup(A33,importrange(""https://doc"&amp;"s.google.com/spreadsheets/d/1arpJoJSlKHkJ-Zn4sJxqp3okt8tUTIYCnkob2xnYiCU/edit?usp=sharing"",""Mar 2026!$A:$AP""),42,0)+vlookup(A33,importrange(""https://docs.google.com/spreadsheets/d/1arpJoJSlKHkJ-Zn4sJxqp3okt8tUTIYCnkob2xnYiCU/edit?usp=sharing"",""Apr 2"&amp;"026!$A:$AP""),42,0)"),0.0)</f>
        <v>0</v>
      </c>
    </row>
    <row r="34" ht="15.75" hidden="1" customHeight="1">
      <c r="A34" s="8" t="s">
        <v>43</v>
      </c>
      <c r="B34" s="9">
        <f>IFERROR(__xludf.DUMMYFUNCTION("vlookup(A34,importrange(""https://docs.google.com/spreadsheets/d/1arpJoJSlKHkJ-Zn4sJxqp3okt8tUTIYCnkob2xnYiCU/edit?usp=sharing"",""Jan 2026!$A:$AH""),34,0)+vlookup(A34,importrange(""https://docs.google.com/spreadsheets/d/1arpJoJSlKHkJ-Zn4sJxqp3okt8tUTIYCn"&amp;"kob2xnYiCU/edit?usp=sharing"",""Feb 2026!$A:$AH""),34,0)+vlookup(A34,importrange(""https://docs.google.com/spreadsheets/d/1arpJoJSlKHkJ-Zn4sJxqp3okt8tUTIYCnkob2xnYiCU/edit?usp=sharing"",""Mar 2026!$A:$AH""),34,0)+vlookup(A34,importrange(""https://docs.goo"&amp;"gle.com/spreadsheets/d/1arpJoJSlKHkJ-Zn4sJxqp3okt8tUTIYCnkob2xnYiCU/edit?usp=sharing"",""Apr 2026!$A:$AH""),34,0)+vlookup(A34,importrange(""https://docs.google.com/spreadsheets/d/1arpJoJSlKHkJ-Zn4sJxqp3okt8tUTIYCnkob2xnYiCU/edit?usp=sharing"",""May 2026!$"&amp;"A:$AH""),34,0)+vlookup(A34,importrange(""https://docs.google.com/spreadsheets/d/1arpJoJSlKHkJ-Zn4sJxqp3okt8tUTIYCnkob2xnYiCU/edit?usp=sharing"",""June 2026!$A:$AH""),34,0)+vlookup(A34,importrange(""https://docs.google.com/spreadsheets/d/1arpJoJSlKHkJ-Zn4s"&amp;"Jxqp3okt8tUTIYCnkob2xnYiCU/edit?usp=sharing"",""Current Month!$A:$AH""),34,0)"),6.0)</f>
        <v>6</v>
      </c>
      <c r="C34" s="9">
        <f>IFERROR(__xludf.DUMMYFUNCTION("vlookup(A34,importrange(""https://docs.google.com/spreadsheets/d/1arpJoJSlKHkJ-Zn4sJxqp3okt8tUTIYCnkob2xnYiCU/edit?usp=sharing"",""Jan 2026!$A:$AI""),35,0)+vlookup(A34,importrange(""https://docs.google.com/spreadsheets/d/1arpJoJSlKHkJ-Zn4sJxqp3okt8tUTIYCn"&amp;"kob2xnYiCU/edit?usp=sharing"",""Feb 2026!$A:$AI""),35,0)+vlookup(A34,importrange(""https://docs.google.com/spreadsheets/d/1arpJoJSlKHkJ-Zn4sJxqp3okt8tUTIYCnkob2xnYiCU/edit?usp=sharing"",""Mar 2026!$A:$AI""),35,0)+vlookup(A34,importrange(""https://docs.goo"&amp;"gle.com/spreadsheets/d/1arpJoJSlKHkJ-Zn4sJxqp3okt8tUTIYCnkob2xnYiCU/edit?usp=sharing"",""Apr 2026!$A:$AI""),35,0)+vlookup(A34,importrange(""https://docs.google.com/spreadsheets/d/1arpJoJSlKHkJ-Zn4sJxqp3okt8tUTIYCnkob2xnYiCU/edit?usp=sharing"",""May 2026!$"&amp;"A:$AI""),35,0)+vlookup(A34,importrange(""https://docs.google.com/spreadsheets/d/1arpJoJSlKHkJ-Zn4sJxqp3okt8tUTIYCnkob2xnYiCU/edit?usp=sharing"",""June 2026!$A:$AI""),35,0)+vlookup(A34,importrange(""https://docs.google.com/spreadsheets/d/1arpJoJSlKHkJ-Zn4s"&amp;"Jxqp3okt8tUTIYCnkob2xnYiCU/edit?usp=sharing"",""Current Month!$A:$AI""),35,0)"),2.0)</f>
        <v>2</v>
      </c>
      <c r="D34" s="9">
        <f>IFERROR(__xludf.DUMMYFUNCTION("vlookup(A34,importrange(""https://docs.google.com/spreadsheets/d/1arpJoJSlKHkJ-Zn4sJxqp3okt8tUTIYCnkob2xnYiCU/edit?usp=sharing"",""Jan 2026!$A:$AJ""),36,0)+vlookup(A34,importrange(""https://docs.google.com/spreadsheets/d/1arpJoJSlKHkJ-Zn4sJxqp3okt8tUTIYCn"&amp;"kob2xnYiCU/edit?usp=sharing"",""Feb 2026!$A:$AJ""),36,0)+vlookup(A34,importrange(""https://docs.google.com/spreadsheets/d/1arpJoJSlKHkJ-Zn4sJxqp3okt8tUTIYCnkob2xnYiCU/edit?usp=sharing"",""Mar 2026!$A:$AJ""),36,0)+vlookup(A34,importrange(""https://docs.goo"&amp;"gle.com/spreadsheets/d/1arpJoJSlKHkJ-Zn4sJxqp3okt8tUTIYCnkob2xnYiCU/edit?usp=sharing"",""Apr 2026!$A:$AJ""),36,0)+vlookup(A34,importrange(""https://docs.google.com/spreadsheets/d/1arpJoJSlKHkJ-Zn4sJxqp3okt8tUTIYCnkob2xnYiCU/edit?usp=sharing"",""May 2026!$"&amp;"A:$AJ""),36,0)+vlookup(A34,importrange(""https://docs.google.com/spreadsheets/d/1arpJoJSlKHkJ-Zn4sJxqp3okt8tUTIYCnkob2xnYiCU/edit?usp=sharing"",""June 2026!$A:$AJ""),36,0)+vlookup(A34,importrange(""https://docs.google.com/spreadsheets/d/1arpJoJSlKHkJ-Zn4s"&amp;"Jxqp3okt8tUTIYCnkob2xnYiCU/edit?usp=sharing"",""Current Month!$A:$AJ""),36,0)"),0.0)</f>
        <v>0</v>
      </c>
      <c r="E34" s="9">
        <f>IFERROR(__xludf.DUMMYFUNCTION("vlookup(A34,importrange(""https://docs.google.com/spreadsheets/d/1arpJoJSlKHkJ-Zn4sJxqp3okt8tUTIYCnkob2xnYiCU/edit?usp=sharing"",""Jan 2026!$A:$AK""),37,0)+vlookup(A34,importrange(""https://docs.google.com/spreadsheets/d/1arpJoJSlKHkJ-Zn4sJxqp3okt8tUTIYCn"&amp;"kob2xnYiCU/edit?usp=sharing"",""Feb 2026!$A:$AK""),37,0)+vlookup(A34,importrange(""https://docs.google.com/spreadsheets/d/1arpJoJSlKHkJ-Zn4sJxqp3okt8tUTIYCnkob2xnYiCU/edit?usp=sharing"",""Mar 2026!$A:$AK""),37,0)+vlookup(A34,importrange(""https://docs.goo"&amp;"gle.com/spreadsheets/d/1arpJoJSlKHkJ-Zn4sJxqp3okt8tUTIYCnkob2xnYiCU/edit?usp=sharing"",""Apr 2026!$A:$AK""),37,0)+vlookup(A34,importrange(""https://docs.google.com/spreadsheets/d/1arpJoJSlKHkJ-Zn4sJxqp3okt8tUTIYCnkob2xnYiCU/edit?usp=sharing"",""May 2026!$"&amp;"A:$AK""),37,0)+vlookup(A34,importrange(""https://docs.google.com/spreadsheets/d/1arpJoJSlKHkJ-Zn4sJxqp3okt8tUTIYCnkob2xnYiCU/edit?usp=sharing"",""June 2026!$A:$AK""),37,0)+vlookup(A34,importrange(""https://docs.google.com/spreadsheets/d/1arpJoJSlKHkJ-Zn4s"&amp;"Jxqp3okt8tUTIYCnkob2xnYiCU/edit?usp=sharing"",""Current Month!$A:$AK""),37,0)"),0.0)</f>
        <v>0</v>
      </c>
      <c r="F34" s="9">
        <f t="shared" si="1"/>
        <v>4</v>
      </c>
      <c r="G34" s="9">
        <f>IFERROR(__xludf.DUMMYFUNCTION("vlookup(A34,importrange(""https://docs.google.com/spreadsheets/d/1arpJoJSlKHkJ-Zn4sJxqp3okt8tUTIYCnkob2xnYiCU/edit?usp=sharing"",""Jan 2026!$A:$AN""),40,0)+vlookup(A34,importrange(""https://docs.google.com/spreadsheets/d/1arpJoJSlKHkJ-Zn4sJxqp3okt8tUTIYCn"&amp;"kob2xnYiCU/edit?usp=sharing"",""Feb 2026!$A:$AN""),40,0)+vlookup(A34,importrange(""https://docs.google.com/spreadsheets/d/1arpJoJSlKHkJ-Zn4sJxqp3okt8tUTIYCnkob2xnYiCU/edit?usp=sharing"",""Mar 2026!$A:$AN""),40,0)+vlookup(A34,importrange(""https://docs.goo"&amp;"gle.com/spreadsheets/d/1arpJoJSlKHkJ-Zn4sJxqp3okt8tUTIYCnkob2xnYiCU/edit?usp=sharing"",""Apr 2026!$A:$AN""),40,0)+vlookup(A34,importrange(""https://docs.google.com/spreadsheets/d/1arpJoJSlKHkJ-Zn4sJxqp3okt8tUTIYCnkob2xnYiCU/edit?usp=sharing"",""May 2026!$"&amp;"A:$AN""),40,0)+vlookup(A34,importrange(""https://docs.google.com/spreadsheets/d/1arpJoJSlKHkJ-Zn4sJxqp3okt8tUTIYCnkob2xnYiCU/edit?usp=sharing"",""June 2026!$A:$AN""),40,0)+vlookup(A34,importrange(""https://docs.google.com/spreadsheets/d/1arpJoJSlKHkJ-Zn4s"&amp;"Jxqp3okt8tUTIYCnkob2xnYiCU/edit?usp=sharing"",""Current Month!$A:$AN""),40,0)"),0.0)</f>
        <v>0</v>
      </c>
      <c r="H34" s="9">
        <v>12.0</v>
      </c>
      <c r="I34" s="10">
        <f t="shared" si="2"/>
        <v>13</v>
      </c>
      <c r="J34" s="9">
        <f>IFERROR(__xludf.DUMMYFUNCTION("vlookup(A34,importrange(""https://docs.google.com/spreadsheets/d/1arpJoJSlKHkJ-Zn4sJxqp3okt8tUTIYCnkob2xnYiCU/edit?usp=sharing"",""Jan 2026!$A:$AP""),41,0)+vlookup(A34,importrange(""https://docs.google.com/spreadsheets/d/1arpJoJSlKHkJ-Zn4sJxqp3okt8tUTIYCn"&amp;"kob2xnYiCU/edit?usp=sharing"",""Feb 2026!$A:$AP""),41,0)+vlookup(A34,importrange(""https://docs.google.com/spreadsheets/d/1arpJoJSlKHkJ-Zn4sJxqp3okt8tUTIYCnkob2xnYiCU/edit?usp=sharing"",""Mar 2026!$A:$AP""),41,0)+vlookup(A34,importrange(""https://docs.goo"&amp;"gle.com/spreadsheets/d/1arpJoJSlKHkJ-Zn4sJxqp3okt8tUTIYCnkob2xnYiCU/edit?usp=sharing"",""Current Month!$A:$AP""),41,0)"),9.0)</f>
        <v>9</v>
      </c>
      <c r="K34" s="11">
        <f>IFERROR(__xludf.DUMMYFUNCTION("J34/((vlookup(A34,importrange(""https://docs.google.com/spreadsheets/d/1arpJoJSlKHkJ-Zn4sJxqp3okt8tUTIYCnkob2xnYiCU/edit?usp=sharing"",""Jan 2026!$A:$AG""),33,0))+(vlookup(A34,importrange(""https://docs.google.com/spreadsheets/d/1arpJoJSlKHkJ-Zn4sJxqp3okt"&amp;"8tUTIYCnkob2xnYiCU/edit?usp=sharing"",""Feb 2026!$A:$AG""),33,0))+(vlookup(A34,importrange(""https://docs.google.com/spreadsheets/d/1arpJoJSlKHkJ-Zn4sJxqp3okt8tUTIYCnkob2xnYiCU/edit?usp=sharing"",""Mar 2026!$A:$AG""),33,0))+(vlookup(A34,importrange(""http"&amp;"s://docs.google.com/spreadsheets/d/1arpJoJSlKHkJ-Zn4sJxqp3okt8tUTIYCnkob2xnYiCU/edit?usp=sharing"",""Apr 2026!$A:$AG""),33,0))+(vlookup(A34,importrange(""https://docs.google.com/spreadsheets/d/1arpJoJSlKHkJ-Zn4sJxqp3okt8tUTIYCnkob2xnYiCU/edit?usp=sharing"&amp;""",""Current Month!$A:$AG""),33,0)))"),0.16666666666666666)</f>
        <v>0.1666666667</v>
      </c>
      <c r="L34" s="9">
        <f>IFERROR(__xludf.DUMMYFUNCTION("vlookup(A34,importrange(""https://docs.google.com/spreadsheets/d/1arpJoJSlKHkJ-Zn4sJxqp3okt8tUTIYCnkob2xnYiCU/edit?usp=sharing"",""Current Month!$A:$AP""),42,0)+vlookup(A34,importrange(""https://docs.google.com/spreadsheets/d/1arpJoJSlKHkJ-Zn4sJxqp3okt8tU"&amp;"TIYCnkob2xnYiCU/edit?usp=sharing"",""Jan 2026!$A:$AP""),42,0)+vlookup(A34,importrange(""https://docs.google.com/spreadsheets/d/1arpJoJSlKHkJ-Zn4sJxqp3okt8tUTIYCnkob2xnYiCU/edit?usp=sharing"",""Feb 2026!$A:$AP""),42,0)+vlookup(A34,importrange(""https://doc"&amp;"s.google.com/spreadsheets/d/1arpJoJSlKHkJ-Zn4sJxqp3okt8tUTIYCnkob2xnYiCU/edit?usp=sharing"",""Mar 2026!$A:$AP""),42,0)+vlookup(A34,importrange(""https://docs.google.com/spreadsheets/d/1arpJoJSlKHkJ-Zn4sJxqp3okt8tUTIYCnkob2xnYiCU/edit?usp=sharing"",""Apr 2"&amp;"026!$A:$AP""),42,0)"),0.0)</f>
        <v>0</v>
      </c>
    </row>
    <row r="35" ht="15.75" customHeight="1">
      <c r="A35" s="12" t="s">
        <v>44</v>
      </c>
      <c r="B35" s="9">
        <f>IFERROR(__xludf.DUMMYFUNCTION("vlookup(A35,importrange(""https://docs.google.com/spreadsheets/d/1arpJoJSlKHkJ-Zn4sJxqp3okt8tUTIYCnkob2xnYiCU/edit?usp=sharing"",""Jan 2026!$A:$AH""),34,0)+vlookup(A35,importrange(""https://docs.google.com/spreadsheets/d/1arpJoJSlKHkJ-Zn4sJxqp3okt8tUTIYCn"&amp;"kob2xnYiCU/edit?usp=sharing"",""Feb 2026!$A:$AH""),34,0)+vlookup(A35,importrange(""https://docs.google.com/spreadsheets/d/1arpJoJSlKHkJ-Zn4sJxqp3okt8tUTIYCnkob2xnYiCU/edit?usp=sharing"",""Mar 2026!$A:$AH""),34,0)+vlookup(A35,importrange(""https://docs.goo"&amp;"gle.com/spreadsheets/d/1arpJoJSlKHkJ-Zn4sJxqp3okt8tUTIYCnkob2xnYiCU/edit?usp=sharing"",""Apr 2026!$A:$AH""),34,0)+vlookup(A35,importrange(""https://docs.google.com/spreadsheets/d/1arpJoJSlKHkJ-Zn4sJxqp3okt8tUTIYCnkob2xnYiCU/edit?usp=sharing"",""May 2026!$"&amp;"A:$AH""),34,0)+vlookup(A35,importrange(""https://docs.google.com/spreadsheets/d/1arpJoJSlKHkJ-Zn4sJxqp3okt8tUTIYCnkob2xnYiCU/edit?usp=sharing"",""June 2026!$A:$AH""),34,0)+vlookup(A35,importrange(""https://docs.google.com/spreadsheets/d/1arpJoJSlKHkJ-Zn4s"&amp;"Jxqp3okt8tUTIYCnkob2xnYiCU/edit?usp=sharing"",""Current Month!$A:$AH""),34,0)"),6.0)</f>
        <v>6</v>
      </c>
      <c r="C35" s="9">
        <f>IFERROR(__xludf.DUMMYFUNCTION("vlookup(A35,importrange(""https://docs.google.com/spreadsheets/d/1arpJoJSlKHkJ-Zn4sJxqp3okt8tUTIYCnkob2xnYiCU/edit?usp=sharing"",""Jan 2026!$A:$AI""),35,0)+vlookup(A35,importrange(""https://docs.google.com/spreadsheets/d/1arpJoJSlKHkJ-Zn4sJxqp3okt8tUTIYCn"&amp;"kob2xnYiCU/edit?usp=sharing"",""Feb 2026!$A:$AI""),35,0)+vlookup(A35,importrange(""https://docs.google.com/spreadsheets/d/1arpJoJSlKHkJ-Zn4sJxqp3okt8tUTIYCnkob2xnYiCU/edit?usp=sharing"",""Mar 2026!$A:$AI""),35,0)+vlookup(A35,importrange(""https://docs.goo"&amp;"gle.com/spreadsheets/d/1arpJoJSlKHkJ-Zn4sJxqp3okt8tUTIYCnkob2xnYiCU/edit?usp=sharing"",""Apr 2026!$A:$AI""),35,0)+vlookup(A35,importrange(""https://docs.google.com/spreadsheets/d/1arpJoJSlKHkJ-Zn4sJxqp3okt8tUTIYCnkob2xnYiCU/edit?usp=sharing"",""May 2026!$"&amp;"A:$AI""),35,0)+vlookup(A35,importrange(""https://docs.google.com/spreadsheets/d/1arpJoJSlKHkJ-Zn4sJxqp3okt8tUTIYCnkob2xnYiCU/edit?usp=sharing"",""June 2026!$A:$AI""),35,0)+vlookup(A35,importrange(""https://docs.google.com/spreadsheets/d/1arpJoJSlKHkJ-Zn4s"&amp;"Jxqp3okt8tUTIYCnkob2xnYiCU/edit?usp=sharing"",""Current Month!$A:$AI""),35,0)"),13.5)</f>
        <v>13.5</v>
      </c>
      <c r="D35" s="9">
        <f>IFERROR(__xludf.DUMMYFUNCTION("vlookup(A35,importrange(""https://docs.google.com/spreadsheets/d/1arpJoJSlKHkJ-Zn4sJxqp3okt8tUTIYCnkob2xnYiCU/edit?usp=sharing"",""Jan 2026!$A:$AJ""),36,0)+vlookup(A35,importrange(""https://docs.google.com/spreadsheets/d/1arpJoJSlKHkJ-Zn4sJxqp3okt8tUTIYCn"&amp;"kob2xnYiCU/edit?usp=sharing"",""Feb 2026!$A:$AJ""),36,0)+vlookup(A35,importrange(""https://docs.google.com/spreadsheets/d/1arpJoJSlKHkJ-Zn4sJxqp3okt8tUTIYCnkob2xnYiCU/edit?usp=sharing"",""Mar 2026!$A:$AJ""),36,0)+vlookup(A35,importrange(""https://docs.goo"&amp;"gle.com/spreadsheets/d/1arpJoJSlKHkJ-Zn4sJxqp3okt8tUTIYCnkob2xnYiCU/edit?usp=sharing"",""Apr 2026!$A:$AJ""),36,0)+vlookup(A35,importrange(""https://docs.google.com/spreadsheets/d/1arpJoJSlKHkJ-Zn4sJxqp3okt8tUTIYCnkob2xnYiCU/edit?usp=sharing"",""May 2026!$"&amp;"A:$AJ""),36,0)+vlookup(A35,importrange(""https://docs.google.com/spreadsheets/d/1arpJoJSlKHkJ-Zn4sJxqp3okt8tUTIYCnkob2xnYiCU/edit?usp=sharing"",""June 2026!$A:$AJ""),36,0)+vlookup(A35,importrange(""https://docs.google.com/spreadsheets/d/1arpJoJSlKHkJ-Zn4s"&amp;"Jxqp3okt8tUTIYCnkob2xnYiCU/edit?usp=sharing"",""Current Month!$A:$AJ""),36,0)"),0.0)</f>
        <v>0</v>
      </c>
      <c r="E35" s="9">
        <f>IFERROR(__xludf.DUMMYFUNCTION("vlookup(A35,importrange(""https://docs.google.com/spreadsheets/d/1arpJoJSlKHkJ-Zn4sJxqp3okt8tUTIYCnkob2xnYiCU/edit?usp=sharing"",""Jan 2026!$A:$AK""),37,0)+vlookup(A35,importrange(""https://docs.google.com/spreadsheets/d/1arpJoJSlKHkJ-Zn4sJxqp3okt8tUTIYCn"&amp;"kob2xnYiCU/edit?usp=sharing"",""Feb 2026!$A:$AK""),37,0)+vlookup(A35,importrange(""https://docs.google.com/spreadsheets/d/1arpJoJSlKHkJ-Zn4sJxqp3okt8tUTIYCnkob2xnYiCU/edit?usp=sharing"",""Mar 2026!$A:$AK""),37,0)+vlookup(A35,importrange(""https://docs.goo"&amp;"gle.com/spreadsheets/d/1arpJoJSlKHkJ-Zn4sJxqp3okt8tUTIYCnkob2xnYiCU/edit?usp=sharing"",""Apr 2026!$A:$AK""),37,0)+vlookup(A35,importrange(""https://docs.google.com/spreadsheets/d/1arpJoJSlKHkJ-Zn4sJxqp3okt8tUTIYCnkob2xnYiCU/edit?usp=sharing"",""May 2026!$"&amp;"A:$AK""),37,0)+vlookup(A35,importrange(""https://docs.google.com/spreadsheets/d/1arpJoJSlKHkJ-Zn4sJxqp3okt8tUTIYCnkob2xnYiCU/edit?usp=sharing"",""June 2026!$A:$AK""),37,0)+vlookup(A35,importrange(""https://docs.google.com/spreadsheets/d/1arpJoJSlKHkJ-Zn4s"&amp;"Jxqp3okt8tUTIYCnkob2xnYiCU/edit?usp=sharing"",""Current Month!$A:$AK""),37,0)"),0.0)</f>
        <v>0</v>
      </c>
      <c r="F35" s="9">
        <f t="shared" si="1"/>
        <v>0</v>
      </c>
      <c r="G35" s="9">
        <f>IFERROR(__xludf.DUMMYFUNCTION("vlookup(A35,importrange(""https://docs.google.com/spreadsheets/d/1arpJoJSlKHkJ-Zn4sJxqp3okt8tUTIYCnkob2xnYiCU/edit?usp=sharing"",""Jan 2026!$A:$AN""),40,0)+vlookup(A35,importrange(""https://docs.google.com/spreadsheets/d/1arpJoJSlKHkJ-Zn4sJxqp3okt8tUTIYCn"&amp;"kob2xnYiCU/edit?usp=sharing"",""Feb 2026!$A:$AN""),40,0)+vlookup(A35,importrange(""https://docs.google.com/spreadsheets/d/1arpJoJSlKHkJ-Zn4sJxqp3okt8tUTIYCnkob2xnYiCU/edit?usp=sharing"",""Mar 2026!$A:$AN""),40,0)+vlookup(A35,importrange(""https://docs.goo"&amp;"gle.com/spreadsheets/d/1arpJoJSlKHkJ-Zn4sJxqp3okt8tUTIYCnkob2xnYiCU/edit?usp=sharing"",""Apr 2026!$A:$AN""),40,0)+vlookup(A35,importrange(""https://docs.google.com/spreadsheets/d/1arpJoJSlKHkJ-Zn4sJxqp3okt8tUTIYCnkob2xnYiCU/edit?usp=sharing"",""May 2026!$"&amp;"A:$AN""),40,0)+vlookup(A35,importrange(""https://docs.google.com/spreadsheets/d/1arpJoJSlKHkJ-Zn4sJxqp3okt8tUTIYCnkob2xnYiCU/edit?usp=sharing"",""June 2026!$A:$AN""),40,0)+vlookup(A35,importrange(""https://docs.google.com/spreadsheets/d/1arpJoJSlKHkJ-Zn4s"&amp;"Jxqp3okt8tUTIYCnkob2xnYiCU/edit?usp=sharing"",""Current Month!$A:$AN""),40,0)"),4.0)</f>
        <v>4</v>
      </c>
      <c r="H35" s="9">
        <v>12.0</v>
      </c>
      <c r="I35" s="10">
        <f t="shared" si="2"/>
        <v>1.5</v>
      </c>
      <c r="J35" s="9">
        <f>IFERROR(__xludf.DUMMYFUNCTION("vlookup(A35,importrange(""https://docs.google.com/spreadsheets/d/1arpJoJSlKHkJ-Zn4sJxqp3okt8tUTIYCnkob2xnYiCU/edit?usp=sharing"",""Jan 2026!$A:$AP""),41,0)+vlookup(A35,importrange(""https://docs.google.com/spreadsheets/d/1arpJoJSlKHkJ-Zn4sJxqp3okt8tUTIYCn"&amp;"kob2xnYiCU/edit?usp=sharing"",""Feb 2026!$A:$AP""),41,0)+vlookup(A35,importrange(""https://docs.google.com/spreadsheets/d/1arpJoJSlKHkJ-Zn4sJxqp3okt8tUTIYCnkob2xnYiCU/edit?usp=sharing"",""Mar 2026!$A:$AP""),41,0)+vlookup(A35,importrange(""https://docs.goo"&amp;"gle.com/spreadsheets/d/1arpJoJSlKHkJ-Zn4sJxqp3okt8tUTIYCnkob2xnYiCU/edit?usp=sharing"",""Current Month!$A:$AP""),41,0)"),15.0)</f>
        <v>15</v>
      </c>
      <c r="K35" s="11">
        <f>IFERROR(__xludf.DUMMYFUNCTION("J35/((vlookup(A35,importrange(""https://docs.google.com/spreadsheets/d/1arpJoJSlKHkJ-Zn4sJxqp3okt8tUTIYCnkob2xnYiCU/edit?usp=sharing"",""Jan 2026!$A:$AG""),33,0))+(vlookup(A35,importrange(""https://docs.google.com/spreadsheets/d/1arpJoJSlKHkJ-Zn4sJxqp3okt"&amp;"8tUTIYCnkob2xnYiCU/edit?usp=sharing"",""Feb 2026!$A:$AG""),33,0))+(vlookup(A35,importrange(""https://docs.google.com/spreadsheets/d/1arpJoJSlKHkJ-Zn4sJxqp3okt8tUTIYCnkob2xnYiCU/edit?usp=sharing"",""Mar 2026!$A:$AG""),33,0))+(vlookup(A35,importrange(""http"&amp;"s://docs.google.com/spreadsheets/d/1arpJoJSlKHkJ-Zn4sJxqp3okt8tUTIYCnkob2xnYiCU/edit?usp=sharing"",""Apr 2026!$A:$AG""),33,0))+(vlookup(A35,importrange(""https://docs.google.com/spreadsheets/d/1arpJoJSlKHkJ-Zn4sJxqp3okt8tUTIYCnkob2xnYiCU/edit?usp=sharing"&amp;""",""Current Month!$A:$AG""),33,0)))"),0.18633540372670807)</f>
        <v>0.1863354037</v>
      </c>
      <c r="L35" s="9">
        <f>IFERROR(__xludf.DUMMYFUNCTION("vlookup(A35,importrange(""https://docs.google.com/spreadsheets/d/1arpJoJSlKHkJ-Zn4sJxqp3okt8tUTIYCnkob2xnYiCU/edit?usp=sharing"",""Current Month!$A:$AP""),42,0)+vlookup(A35,importrange(""https://docs.google.com/spreadsheets/d/1arpJoJSlKHkJ-Zn4sJxqp3okt8tU"&amp;"TIYCnkob2xnYiCU/edit?usp=sharing"",""Jan 2026!$A:$AP""),42,0)+vlookup(A35,importrange(""https://docs.google.com/spreadsheets/d/1arpJoJSlKHkJ-Zn4sJxqp3okt8tUTIYCnkob2xnYiCU/edit?usp=sharing"",""Feb 2026!$A:$AP""),42,0)+vlookup(A35,importrange(""https://doc"&amp;"s.google.com/spreadsheets/d/1arpJoJSlKHkJ-Zn4sJxqp3okt8tUTIYCnkob2xnYiCU/edit?usp=sharing"",""Mar 2026!$A:$AP""),42,0)+vlookup(A35,importrange(""https://docs.google.com/spreadsheets/d/1arpJoJSlKHkJ-Zn4sJxqp3okt8tUTIYCnkob2xnYiCU/edit?usp=sharing"",""Apr 2"&amp;"026!$A:$AP""),42,0)"),15.0)</f>
        <v>15</v>
      </c>
    </row>
    <row r="36" ht="15.75" customHeight="1">
      <c r="A36" s="12" t="s">
        <v>45</v>
      </c>
      <c r="B36" s="9">
        <f>IFERROR(__xludf.DUMMYFUNCTION("vlookup(A36,importrange(""https://docs.google.com/spreadsheets/d/1arpJoJSlKHkJ-Zn4sJxqp3okt8tUTIYCnkob2xnYiCU/edit?usp=sharing"",""Jan 2026!$A:$AH""),34,0)+vlookup(A36,importrange(""https://docs.google.com/spreadsheets/d/1arpJoJSlKHkJ-Zn4sJxqp3okt8tUTIYCn"&amp;"kob2xnYiCU/edit?usp=sharing"",""Feb 2026!$A:$AH""),34,0)+vlookup(A36,importrange(""https://docs.google.com/spreadsheets/d/1arpJoJSlKHkJ-Zn4sJxqp3okt8tUTIYCnkob2xnYiCU/edit?usp=sharing"",""Mar 2026!$A:$AH""),34,0)+vlookup(A36,importrange(""https://docs.goo"&amp;"gle.com/spreadsheets/d/1arpJoJSlKHkJ-Zn4sJxqp3okt8tUTIYCnkob2xnYiCU/edit?usp=sharing"",""Apr 2026!$A:$AH""),34,0)+vlookup(A36,importrange(""https://docs.google.com/spreadsheets/d/1arpJoJSlKHkJ-Zn4sJxqp3okt8tUTIYCnkob2xnYiCU/edit?usp=sharing"",""May 2026!$"&amp;"A:$AH""),34,0)+vlookup(A36,importrange(""https://docs.google.com/spreadsheets/d/1arpJoJSlKHkJ-Zn4sJxqp3okt8tUTIYCnkob2xnYiCU/edit?usp=sharing"",""June 2026!$A:$AH""),34,0)+vlookup(A36,importrange(""https://docs.google.com/spreadsheets/d/1arpJoJSlKHkJ-Zn4s"&amp;"Jxqp3okt8tUTIYCnkob2xnYiCU/edit?usp=sharing"",""Current Month!$A:$AH""),34,0)"),16.0)</f>
        <v>16</v>
      </c>
      <c r="C36" s="9">
        <f>IFERROR(__xludf.DUMMYFUNCTION("vlookup(A36,importrange(""https://docs.google.com/spreadsheets/d/1arpJoJSlKHkJ-Zn4sJxqp3okt8tUTIYCnkob2xnYiCU/edit?usp=sharing"",""Jan 2026!$A:$AI""),35,0)+vlookup(A36,importrange(""https://docs.google.com/spreadsheets/d/1arpJoJSlKHkJ-Zn4sJxqp3okt8tUTIYCn"&amp;"kob2xnYiCU/edit?usp=sharing"",""Feb 2026!$A:$AI""),35,0)+vlookup(A36,importrange(""https://docs.google.com/spreadsheets/d/1arpJoJSlKHkJ-Zn4sJxqp3okt8tUTIYCnkob2xnYiCU/edit?usp=sharing"",""Mar 2026!$A:$AI""),35,0)+vlookup(A36,importrange(""https://docs.goo"&amp;"gle.com/spreadsheets/d/1arpJoJSlKHkJ-Zn4sJxqp3okt8tUTIYCnkob2xnYiCU/edit?usp=sharing"",""Apr 2026!$A:$AI""),35,0)+vlookup(A36,importrange(""https://docs.google.com/spreadsheets/d/1arpJoJSlKHkJ-Zn4sJxqp3okt8tUTIYCnkob2xnYiCU/edit?usp=sharing"",""May 2026!$"&amp;"A:$AI""),35,0)+vlookup(A36,importrange(""https://docs.google.com/spreadsheets/d/1arpJoJSlKHkJ-Zn4sJxqp3okt8tUTIYCnkob2xnYiCU/edit?usp=sharing"",""June 2026!$A:$AI""),35,0)+vlookup(A36,importrange(""https://docs.google.com/spreadsheets/d/1arpJoJSlKHkJ-Zn4s"&amp;"Jxqp3okt8tUTIYCnkob2xnYiCU/edit?usp=sharing"",""Current Month!$A:$AI""),35,0)"),1.0)</f>
        <v>1</v>
      </c>
      <c r="D36" s="9">
        <f>IFERROR(__xludf.DUMMYFUNCTION("vlookup(A36,importrange(""https://docs.google.com/spreadsheets/d/1arpJoJSlKHkJ-Zn4sJxqp3okt8tUTIYCnkob2xnYiCU/edit?usp=sharing"",""Jan 2026!$A:$AJ""),36,0)+vlookup(A36,importrange(""https://docs.google.com/spreadsheets/d/1arpJoJSlKHkJ-Zn4sJxqp3okt8tUTIYCn"&amp;"kob2xnYiCU/edit?usp=sharing"",""Feb 2026!$A:$AJ""),36,0)+vlookup(A36,importrange(""https://docs.google.com/spreadsheets/d/1arpJoJSlKHkJ-Zn4sJxqp3okt8tUTIYCnkob2xnYiCU/edit?usp=sharing"",""Mar 2026!$A:$AJ""),36,0)+vlookup(A36,importrange(""https://docs.goo"&amp;"gle.com/spreadsheets/d/1arpJoJSlKHkJ-Zn4sJxqp3okt8tUTIYCnkob2xnYiCU/edit?usp=sharing"",""Apr 2026!$A:$AJ""),36,0)+vlookup(A36,importrange(""https://docs.google.com/spreadsheets/d/1arpJoJSlKHkJ-Zn4sJxqp3okt8tUTIYCnkob2xnYiCU/edit?usp=sharing"",""May 2026!$"&amp;"A:$AJ""),36,0)+vlookup(A36,importrange(""https://docs.google.com/spreadsheets/d/1arpJoJSlKHkJ-Zn4sJxqp3okt8tUTIYCnkob2xnYiCU/edit?usp=sharing"",""June 2026!$A:$AJ""),36,0)+vlookup(A36,importrange(""https://docs.google.com/spreadsheets/d/1arpJoJSlKHkJ-Zn4s"&amp;"Jxqp3okt8tUTIYCnkob2xnYiCU/edit?usp=sharing"",""Current Month!$A:$AJ""),36,0)"),0.0)</f>
        <v>0</v>
      </c>
      <c r="E36" s="9">
        <f>IFERROR(__xludf.DUMMYFUNCTION("vlookup(A36,importrange(""https://docs.google.com/spreadsheets/d/1arpJoJSlKHkJ-Zn4sJxqp3okt8tUTIYCnkob2xnYiCU/edit?usp=sharing"",""Jan 2026!$A:$AK""),37,0)+vlookup(A36,importrange(""https://docs.google.com/spreadsheets/d/1arpJoJSlKHkJ-Zn4sJxqp3okt8tUTIYCn"&amp;"kob2xnYiCU/edit?usp=sharing"",""Feb 2026!$A:$AK""),37,0)+vlookup(A36,importrange(""https://docs.google.com/spreadsheets/d/1arpJoJSlKHkJ-Zn4sJxqp3okt8tUTIYCnkob2xnYiCU/edit?usp=sharing"",""Mar 2026!$A:$AK""),37,0)+vlookup(A36,importrange(""https://docs.goo"&amp;"gle.com/spreadsheets/d/1arpJoJSlKHkJ-Zn4sJxqp3okt8tUTIYCnkob2xnYiCU/edit?usp=sharing"",""Apr 2026!$A:$AK""),37,0)+vlookup(A36,importrange(""https://docs.google.com/spreadsheets/d/1arpJoJSlKHkJ-Zn4sJxqp3okt8tUTIYCnkob2xnYiCU/edit?usp=sharing"",""May 2026!$"&amp;"A:$AK""),37,0)+vlookup(A36,importrange(""https://docs.google.com/spreadsheets/d/1arpJoJSlKHkJ-Zn4sJxqp3okt8tUTIYCnkob2xnYiCU/edit?usp=sharing"",""June 2026!$A:$AK""),37,0)+vlookup(A36,importrange(""https://docs.google.com/spreadsheets/d/1arpJoJSlKHkJ-Zn4s"&amp;"Jxqp3okt8tUTIYCnkob2xnYiCU/edit?usp=sharing"",""Current Month!$A:$AK""),37,0)"),0.0)</f>
        <v>0</v>
      </c>
      <c r="F36" s="9">
        <f t="shared" si="1"/>
        <v>3</v>
      </c>
      <c r="G36" s="9">
        <f>IFERROR(__xludf.DUMMYFUNCTION("vlookup(A36,importrange(""https://docs.google.com/spreadsheets/d/1arpJoJSlKHkJ-Zn4sJxqp3okt8tUTIYCnkob2xnYiCU/edit?usp=sharing"",""Jan 2026!$A:$AN""),40,0)+vlookup(A36,importrange(""https://docs.google.com/spreadsheets/d/1arpJoJSlKHkJ-Zn4sJxqp3okt8tUTIYCn"&amp;"kob2xnYiCU/edit?usp=sharing"",""Feb 2026!$A:$AN""),40,0)+vlookup(A36,importrange(""https://docs.google.com/spreadsheets/d/1arpJoJSlKHkJ-Zn4sJxqp3okt8tUTIYCnkob2xnYiCU/edit?usp=sharing"",""Mar 2026!$A:$AN""),40,0)+vlookup(A36,importrange(""https://docs.goo"&amp;"gle.com/spreadsheets/d/1arpJoJSlKHkJ-Zn4sJxqp3okt8tUTIYCnkob2xnYiCU/edit?usp=sharing"",""Apr 2026!$A:$AN""),40,0)+vlookup(A36,importrange(""https://docs.google.com/spreadsheets/d/1arpJoJSlKHkJ-Zn4sJxqp3okt8tUTIYCnkob2xnYiCU/edit?usp=sharing"",""May 2026!$"&amp;"A:$AN""),40,0)+vlookup(A36,importrange(""https://docs.google.com/spreadsheets/d/1arpJoJSlKHkJ-Zn4sJxqp3okt8tUTIYCnkob2xnYiCU/edit?usp=sharing"",""June 2026!$A:$AN""),40,0)+vlookup(A36,importrange(""https://docs.google.com/spreadsheets/d/1arpJoJSlKHkJ-Zn4s"&amp;"Jxqp3okt8tUTIYCnkob2xnYiCU/edit?usp=sharing"",""Current Month!$A:$AN""),40,0)"),1.0)</f>
        <v>1</v>
      </c>
      <c r="H36" s="9">
        <v>12.0</v>
      </c>
      <c r="I36" s="10">
        <f t="shared" si="2"/>
        <v>4</v>
      </c>
      <c r="J36" s="9">
        <f>IFERROR(__xludf.DUMMYFUNCTION("vlookup(A36,importrange(""https://docs.google.com/spreadsheets/d/1arpJoJSlKHkJ-Zn4sJxqp3okt8tUTIYCnkob2xnYiCU/edit?usp=sharing"",""Jan 2026!$A:$AP""),41,0)+vlookup(A36,importrange(""https://docs.google.com/spreadsheets/d/1arpJoJSlKHkJ-Zn4sJxqp3okt8tUTIYCn"&amp;"kob2xnYiCU/edit?usp=sharing"",""Feb 2026!$A:$AP""),41,0)+vlookup(A36,importrange(""https://docs.google.com/spreadsheets/d/1arpJoJSlKHkJ-Zn4sJxqp3okt8tUTIYCnkob2xnYiCU/edit?usp=sharing"",""Mar 2026!$A:$AP""),41,0)+vlookup(A36,importrange(""https://docs.goo"&amp;"gle.com/spreadsheets/d/1arpJoJSlKHkJ-Zn4sJxqp3okt8tUTIYCnkob2xnYiCU/edit?usp=sharing"",""Current Month!$A:$AP""),41,0)"),26.0)</f>
        <v>26</v>
      </c>
      <c r="K36" s="11">
        <f>IFERROR(__xludf.DUMMYFUNCTION("J36/((vlookup(A36,importrange(""https://docs.google.com/spreadsheets/d/1arpJoJSlKHkJ-Zn4sJxqp3okt8tUTIYCnkob2xnYiCU/edit?usp=sharing"",""Jan 2026!$A:$AG""),33,0))+(vlookup(A36,importrange(""https://docs.google.com/spreadsheets/d/1arpJoJSlKHkJ-Zn4sJxqp3okt"&amp;"8tUTIYCnkob2xnYiCU/edit?usp=sharing"",""Feb 2026!$A:$AG""),33,0))+(vlookup(A36,importrange(""https://docs.google.com/spreadsheets/d/1arpJoJSlKHkJ-Zn4sJxqp3okt8tUTIYCnkob2xnYiCU/edit?usp=sharing"",""Mar 2026!$A:$AG""),33,0))+(vlookup(A36,importrange(""http"&amp;"s://docs.google.com/spreadsheets/d/1arpJoJSlKHkJ-Zn4sJxqp3okt8tUTIYCnkob2xnYiCU/edit?usp=sharing"",""Apr 2026!$A:$AG""),33,0))+(vlookup(A36,importrange(""https://docs.google.com/spreadsheets/d/1arpJoJSlKHkJ-Zn4sJxqp3okt8tUTIYCnkob2xnYiCU/edit?usp=sharing"&amp;""",""Current Month!$A:$AG""),33,0)))"),0.3058823529411765)</f>
        <v>0.3058823529</v>
      </c>
      <c r="L36" s="9">
        <f>IFERROR(__xludf.DUMMYFUNCTION("vlookup(A36,importrange(""https://docs.google.com/spreadsheets/d/1arpJoJSlKHkJ-Zn4sJxqp3okt8tUTIYCnkob2xnYiCU/edit?usp=sharing"",""Current Month!$A:$AP""),42,0)+vlookup(A36,importrange(""https://docs.google.com/spreadsheets/d/1arpJoJSlKHkJ-Zn4sJxqp3okt8tU"&amp;"TIYCnkob2xnYiCU/edit?usp=sharing"",""Jan 2026!$A:$AP""),42,0)+vlookup(A36,importrange(""https://docs.google.com/spreadsheets/d/1arpJoJSlKHkJ-Zn4sJxqp3okt8tUTIYCnkob2xnYiCU/edit?usp=sharing"",""Feb 2026!$A:$AP""),42,0)+vlookup(A36,importrange(""https://doc"&amp;"s.google.com/spreadsheets/d/1arpJoJSlKHkJ-Zn4sJxqp3okt8tUTIYCnkob2xnYiCU/edit?usp=sharing"",""Mar 2026!$A:$AP""),42,0)+vlookup(A36,importrange(""https://docs.google.com/spreadsheets/d/1arpJoJSlKHkJ-Zn4sJxqp3okt8tUTIYCnkob2xnYiCU/edit?usp=sharing"",""Apr 2"&amp;"026!$A:$AP""),42,0)"),2.0)</f>
        <v>2</v>
      </c>
    </row>
    <row r="37" ht="15.75" customHeight="1">
      <c r="A37" s="8" t="s">
        <v>46</v>
      </c>
      <c r="B37" s="9">
        <f>IFERROR(__xludf.DUMMYFUNCTION("vlookup(A37,importrange(""https://docs.google.com/spreadsheets/d/1arpJoJSlKHkJ-Zn4sJxqp3okt8tUTIYCnkob2xnYiCU/edit?usp=sharing"",""Jan 2026!$A:$AH""),34,0)+vlookup(A37,importrange(""https://docs.google.com/spreadsheets/d/1arpJoJSlKHkJ-Zn4sJxqp3okt8tUTIYCn"&amp;"kob2xnYiCU/edit?usp=sharing"",""Feb 2026!$A:$AH""),34,0)+vlookup(A37,importrange(""https://docs.google.com/spreadsheets/d/1arpJoJSlKHkJ-Zn4sJxqp3okt8tUTIYCnkob2xnYiCU/edit?usp=sharing"",""Mar 2026!$A:$AH""),34,0)+vlookup(A37,importrange(""https://docs.goo"&amp;"gle.com/spreadsheets/d/1arpJoJSlKHkJ-Zn4sJxqp3okt8tUTIYCnkob2xnYiCU/edit?usp=sharing"",""Apr 2026!$A:$AH""),34,0)+vlookup(A37,importrange(""https://docs.google.com/spreadsheets/d/1arpJoJSlKHkJ-Zn4sJxqp3okt8tUTIYCnkob2xnYiCU/edit?usp=sharing"",""May 2026!$"&amp;"A:$AH""),34,0)+vlookup(A37,importrange(""https://docs.google.com/spreadsheets/d/1arpJoJSlKHkJ-Zn4sJxqp3okt8tUTIYCnkob2xnYiCU/edit?usp=sharing"",""June 2026!$A:$AH""),34,0)+vlookup(A37,importrange(""https://docs.google.com/spreadsheets/d/1arpJoJSlKHkJ-Zn4s"&amp;"Jxqp3okt8tUTIYCnkob2xnYiCU/edit?usp=sharing"",""Current Month!$A:$AH""),34,0)"),7.0)</f>
        <v>7</v>
      </c>
      <c r="C37" s="9">
        <f>IFERROR(__xludf.DUMMYFUNCTION("vlookup(A37,importrange(""https://docs.google.com/spreadsheets/d/1arpJoJSlKHkJ-Zn4sJxqp3okt8tUTIYCnkob2xnYiCU/edit?usp=sharing"",""Jan 2026!$A:$AI""),35,0)+vlookup(A37,importrange(""https://docs.google.com/spreadsheets/d/1arpJoJSlKHkJ-Zn4sJxqp3okt8tUTIYCn"&amp;"kob2xnYiCU/edit?usp=sharing"",""Feb 2026!$A:$AI""),35,0)+vlookup(A37,importrange(""https://docs.google.com/spreadsheets/d/1arpJoJSlKHkJ-Zn4sJxqp3okt8tUTIYCnkob2xnYiCU/edit?usp=sharing"",""Mar 2026!$A:$AI""),35,0)+vlookup(A37,importrange(""https://docs.goo"&amp;"gle.com/spreadsheets/d/1arpJoJSlKHkJ-Zn4sJxqp3okt8tUTIYCnkob2xnYiCU/edit?usp=sharing"",""Apr 2026!$A:$AI""),35,0)+vlookup(A37,importrange(""https://docs.google.com/spreadsheets/d/1arpJoJSlKHkJ-Zn4sJxqp3okt8tUTIYCnkob2xnYiCU/edit?usp=sharing"",""May 2026!$"&amp;"A:$AI""),35,0)+vlookup(A37,importrange(""https://docs.google.com/spreadsheets/d/1arpJoJSlKHkJ-Zn4sJxqp3okt8tUTIYCnkob2xnYiCU/edit?usp=sharing"",""June 2026!$A:$AI""),35,0)+vlookup(A37,importrange(""https://docs.google.com/spreadsheets/d/1arpJoJSlKHkJ-Zn4s"&amp;"Jxqp3okt8tUTIYCnkob2xnYiCU/edit?usp=sharing"",""Current Month!$A:$AI""),35,0)"),7.0)</f>
        <v>7</v>
      </c>
      <c r="D37" s="9">
        <f>IFERROR(__xludf.DUMMYFUNCTION("vlookup(A37,importrange(""https://docs.google.com/spreadsheets/d/1arpJoJSlKHkJ-Zn4sJxqp3okt8tUTIYCnkob2xnYiCU/edit?usp=sharing"",""Jan 2026!$A:$AJ""),36,0)+vlookup(A37,importrange(""https://docs.google.com/spreadsheets/d/1arpJoJSlKHkJ-Zn4sJxqp3okt8tUTIYCn"&amp;"kob2xnYiCU/edit?usp=sharing"",""Feb 2026!$A:$AJ""),36,0)+vlookup(A37,importrange(""https://docs.google.com/spreadsheets/d/1arpJoJSlKHkJ-Zn4sJxqp3okt8tUTIYCnkob2xnYiCU/edit?usp=sharing"",""Mar 2026!$A:$AJ""),36,0)+vlookup(A37,importrange(""https://docs.goo"&amp;"gle.com/spreadsheets/d/1arpJoJSlKHkJ-Zn4sJxqp3okt8tUTIYCnkob2xnYiCU/edit?usp=sharing"",""Apr 2026!$A:$AJ""),36,0)+vlookup(A37,importrange(""https://docs.google.com/spreadsheets/d/1arpJoJSlKHkJ-Zn4sJxqp3okt8tUTIYCnkob2xnYiCU/edit?usp=sharing"",""May 2026!$"&amp;"A:$AJ""),36,0)+vlookup(A37,importrange(""https://docs.google.com/spreadsheets/d/1arpJoJSlKHkJ-Zn4sJxqp3okt8tUTIYCnkob2xnYiCU/edit?usp=sharing"",""June 2026!$A:$AJ""),36,0)+vlookup(A37,importrange(""https://docs.google.com/spreadsheets/d/1arpJoJSlKHkJ-Zn4s"&amp;"Jxqp3okt8tUTIYCnkob2xnYiCU/edit?usp=sharing"",""Current Month!$A:$AJ""),36,0)"),0.0)</f>
        <v>0</v>
      </c>
      <c r="E37" s="9">
        <f>IFERROR(__xludf.DUMMYFUNCTION("vlookup(A37,importrange(""https://docs.google.com/spreadsheets/d/1arpJoJSlKHkJ-Zn4sJxqp3okt8tUTIYCnkob2xnYiCU/edit?usp=sharing"",""Jan 2026!$A:$AK""),37,0)+vlookup(A37,importrange(""https://docs.google.com/spreadsheets/d/1arpJoJSlKHkJ-Zn4sJxqp3okt8tUTIYCn"&amp;"kob2xnYiCU/edit?usp=sharing"",""Feb 2026!$A:$AK""),37,0)+vlookup(A37,importrange(""https://docs.google.com/spreadsheets/d/1arpJoJSlKHkJ-Zn4sJxqp3okt8tUTIYCnkob2xnYiCU/edit?usp=sharing"",""Mar 2026!$A:$AK""),37,0)+vlookup(A37,importrange(""https://docs.goo"&amp;"gle.com/spreadsheets/d/1arpJoJSlKHkJ-Zn4sJxqp3okt8tUTIYCnkob2xnYiCU/edit?usp=sharing"",""Apr 2026!$A:$AK""),37,0)+vlookup(A37,importrange(""https://docs.google.com/spreadsheets/d/1arpJoJSlKHkJ-Zn4sJxqp3okt8tUTIYCnkob2xnYiCU/edit?usp=sharing"",""May 2026!$"&amp;"A:$AK""),37,0)+vlookup(A37,importrange(""https://docs.google.com/spreadsheets/d/1arpJoJSlKHkJ-Zn4sJxqp3okt8tUTIYCnkob2xnYiCU/edit?usp=sharing"",""June 2026!$A:$AK""),37,0)+vlookup(A37,importrange(""https://docs.google.com/spreadsheets/d/1arpJoJSlKHkJ-Zn4s"&amp;"Jxqp3okt8tUTIYCnkob2xnYiCU/edit?usp=sharing"",""Current Month!$A:$AK""),37,0)"),0.0)</f>
        <v>0</v>
      </c>
      <c r="F37" s="9">
        <f t="shared" si="1"/>
        <v>3</v>
      </c>
      <c r="G37" s="9">
        <f>IFERROR(__xludf.DUMMYFUNCTION("vlookup(A37,importrange(""https://docs.google.com/spreadsheets/d/1arpJoJSlKHkJ-Zn4sJxqp3okt8tUTIYCnkob2xnYiCU/edit?usp=sharing"",""Jan 2026!$A:$AN""),40,0)+vlookup(A37,importrange(""https://docs.google.com/spreadsheets/d/1arpJoJSlKHkJ-Zn4sJxqp3okt8tUTIYCn"&amp;"kob2xnYiCU/edit?usp=sharing"",""Feb 2026!$A:$AN""),40,0)+vlookup(A37,importrange(""https://docs.google.com/spreadsheets/d/1arpJoJSlKHkJ-Zn4sJxqp3okt8tUTIYCnkob2xnYiCU/edit?usp=sharing"",""Mar 2026!$A:$AN""),40,0)+vlookup(A37,importrange(""https://docs.goo"&amp;"gle.com/spreadsheets/d/1arpJoJSlKHkJ-Zn4sJxqp3okt8tUTIYCnkob2xnYiCU/edit?usp=sharing"",""Apr 2026!$A:$AN""),40,0)+vlookup(A37,importrange(""https://docs.google.com/spreadsheets/d/1arpJoJSlKHkJ-Zn4sJxqp3okt8tUTIYCnkob2xnYiCU/edit?usp=sharing"",""May 2026!$"&amp;"A:$AN""),40,0)+vlookup(A37,importrange(""https://docs.google.com/spreadsheets/d/1arpJoJSlKHkJ-Zn4sJxqp3okt8tUTIYCnkob2xnYiCU/edit?usp=sharing"",""June 2026!$A:$AN""),40,0)+vlookup(A37,importrange(""https://docs.google.com/spreadsheets/d/1arpJoJSlKHkJ-Zn4s"&amp;"Jxqp3okt8tUTIYCnkob2xnYiCU/edit?usp=sharing"",""Current Month!$A:$AN""),40,0)"),1.0)</f>
        <v>1</v>
      </c>
      <c r="H37" s="9">
        <v>12.0</v>
      </c>
      <c r="I37" s="10">
        <f t="shared" si="2"/>
        <v>7</v>
      </c>
      <c r="J37" s="9">
        <f>IFERROR(__xludf.DUMMYFUNCTION("vlookup(A37,importrange(""https://docs.google.com/spreadsheets/d/1arpJoJSlKHkJ-Zn4sJxqp3okt8tUTIYCnkob2xnYiCU/edit?usp=sharing"",""Jan 2026!$A:$AP""),41,0)+vlookup(A37,importrange(""https://docs.google.com/spreadsheets/d/1arpJoJSlKHkJ-Zn4sJxqp3okt8tUTIYCn"&amp;"kob2xnYiCU/edit?usp=sharing"",""Feb 2026!$A:$AP""),41,0)+vlookup(A37,importrange(""https://docs.google.com/spreadsheets/d/1arpJoJSlKHkJ-Zn4sJxqp3okt8tUTIYCnkob2xnYiCU/edit?usp=sharing"",""Mar 2026!$A:$AP""),41,0)+vlookup(A37,importrange(""https://docs.goo"&amp;"gle.com/spreadsheets/d/1arpJoJSlKHkJ-Zn4sJxqp3okt8tUTIYCnkob2xnYiCU/edit?usp=sharing"",""Current Month!$A:$AP""),41,0)"),8.0)</f>
        <v>8</v>
      </c>
      <c r="K37" s="11">
        <f>IFERROR(__xludf.DUMMYFUNCTION("J37/((vlookup(A37,importrange(""https://docs.google.com/spreadsheets/d/1arpJoJSlKHkJ-Zn4sJxqp3okt8tUTIYCnkob2xnYiCU/edit?usp=sharing"",""Jan 2026!$A:$AG""),33,0))+(vlookup(A37,importrange(""https://docs.google.com/spreadsheets/d/1arpJoJSlKHkJ-Zn4sJxqp3okt"&amp;"8tUTIYCnkob2xnYiCU/edit?usp=sharing"",""Feb 2026!$A:$AG""),33,0))+(vlookup(A37,importrange(""https://docs.google.com/spreadsheets/d/1arpJoJSlKHkJ-Zn4sJxqp3okt8tUTIYCnkob2xnYiCU/edit?usp=sharing"",""Mar 2026!$A:$AG""),33,0))+(vlookup(A37,importrange(""http"&amp;"s://docs.google.com/spreadsheets/d/1arpJoJSlKHkJ-Zn4sJxqp3okt8tUTIYCnkob2xnYiCU/edit?usp=sharing"",""Apr 2026!$A:$AG""),33,0))+(vlookup(A37,importrange(""https://docs.google.com/spreadsheets/d/1arpJoJSlKHkJ-Zn4sJxqp3okt8tUTIYCnkob2xnYiCU/edit?usp=sharing"&amp;""",""Current Month!$A:$AG""),33,0)))"),0.0898876404494382)</f>
        <v>0.08988764045</v>
      </c>
      <c r="L37" s="9">
        <f>IFERROR(__xludf.DUMMYFUNCTION("vlookup(A37,importrange(""https://docs.google.com/spreadsheets/d/1arpJoJSlKHkJ-Zn4sJxqp3okt8tUTIYCnkob2xnYiCU/edit?usp=sharing"",""Current Month!$A:$AP""),42,0)+vlookup(A37,importrange(""https://docs.google.com/spreadsheets/d/1arpJoJSlKHkJ-Zn4sJxqp3okt8tU"&amp;"TIYCnkob2xnYiCU/edit?usp=sharing"",""Jan 2026!$A:$AP""),42,0)+vlookup(A37,importrange(""https://docs.google.com/spreadsheets/d/1arpJoJSlKHkJ-Zn4sJxqp3okt8tUTIYCnkob2xnYiCU/edit?usp=sharing"",""Feb 2026!$A:$AP""),42,0)+vlookup(A37,importrange(""https://doc"&amp;"s.google.com/spreadsheets/d/1arpJoJSlKHkJ-Zn4sJxqp3okt8tUTIYCnkob2xnYiCU/edit?usp=sharing"",""Mar 2026!$A:$AP""),42,0)+vlookup(A37,importrange(""https://docs.google.com/spreadsheets/d/1arpJoJSlKHkJ-Zn4sJxqp3okt8tUTIYCnkob2xnYiCU/edit?usp=sharing"",""Apr 2"&amp;"026!$A:$AP""),42,0)"),1.0)</f>
        <v>1</v>
      </c>
    </row>
    <row r="38" ht="15.75" customHeight="1">
      <c r="A38" s="8" t="s">
        <v>47</v>
      </c>
      <c r="B38" s="9">
        <f>IFERROR(__xludf.DUMMYFUNCTION("vlookup(A38,importrange(""https://docs.google.com/spreadsheets/d/1arpJoJSlKHkJ-Zn4sJxqp3okt8tUTIYCnkob2xnYiCU/edit?usp=sharing"",""Jan 2026!$A:$AH""),34,0)+vlookup(A38,importrange(""https://docs.google.com/spreadsheets/d/1arpJoJSlKHkJ-Zn4sJxqp3okt8tUTIYCn"&amp;"kob2xnYiCU/edit?usp=sharing"",""Feb 2026!$A:$AH""),34,0)+vlookup(A38,importrange(""https://docs.google.com/spreadsheets/d/1arpJoJSlKHkJ-Zn4sJxqp3okt8tUTIYCnkob2xnYiCU/edit?usp=sharing"",""Mar 2026!$A:$AH""),34,0)+vlookup(A38,importrange(""https://docs.goo"&amp;"gle.com/spreadsheets/d/1arpJoJSlKHkJ-Zn4sJxqp3okt8tUTIYCnkob2xnYiCU/edit?usp=sharing"",""Apr 2026!$A:$AH""),34,0)+vlookup(A38,importrange(""https://docs.google.com/spreadsheets/d/1arpJoJSlKHkJ-Zn4sJxqp3okt8tUTIYCnkob2xnYiCU/edit?usp=sharing"",""May 2026!$"&amp;"A:$AH""),34,0)+vlookup(A38,importrange(""https://docs.google.com/spreadsheets/d/1arpJoJSlKHkJ-Zn4sJxqp3okt8tUTIYCnkob2xnYiCU/edit?usp=sharing"",""June 2026!$A:$AH""),34,0)+vlookup(A38,importrange(""https://docs.google.com/spreadsheets/d/1arpJoJSlKHkJ-Zn4s"&amp;"Jxqp3okt8tUTIYCnkob2xnYiCU/edit?usp=sharing"",""Current Month!$A:$AH""),34,0)"),3.0)</f>
        <v>3</v>
      </c>
      <c r="C38" s="9">
        <f>IFERROR(__xludf.DUMMYFUNCTION("vlookup(A38,importrange(""https://docs.google.com/spreadsheets/d/1arpJoJSlKHkJ-Zn4sJxqp3okt8tUTIYCnkob2xnYiCU/edit?usp=sharing"",""Jan 2026!$A:$AI""),35,0)+vlookup(A38,importrange(""https://docs.google.com/spreadsheets/d/1arpJoJSlKHkJ-Zn4sJxqp3okt8tUTIYCn"&amp;"kob2xnYiCU/edit?usp=sharing"",""Feb 2026!$A:$AI""),35,0)+vlookup(A38,importrange(""https://docs.google.com/spreadsheets/d/1arpJoJSlKHkJ-Zn4sJxqp3okt8tUTIYCnkob2xnYiCU/edit?usp=sharing"",""Mar 2026!$A:$AI""),35,0)+vlookup(A38,importrange(""https://docs.goo"&amp;"gle.com/spreadsheets/d/1arpJoJSlKHkJ-Zn4sJxqp3okt8tUTIYCnkob2xnYiCU/edit?usp=sharing"",""Apr 2026!$A:$AI""),35,0)+vlookup(A38,importrange(""https://docs.google.com/spreadsheets/d/1arpJoJSlKHkJ-Zn4sJxqp3okt8tUTIYCnkob2xnYiCU/edit?usp=sharing"",""May 2026!$"&amp;"A:$AI""),35,0)+vlookup(A38,importrange(""https://docs.google.com/spreadsheets/d/1arpJoJSlKHkJ-Zn4sJxqp3okt8tUTIYCnkob2xnYiCU/edit?usp=sharing"",""June 2026!$A:$AI""),35,0)+vlookup(A38,importrange(""https://docs.google.com/spreadsheets/d/1arpJoJSlKHkJ-Zn4s"&amp;"Jxqp3okt8tUTIYCnkob2xnYiCU/edit?usp=sharing"",""Current Month!$A:$AI""),35,0)"),1.0)</f>
        <v>1</v>
      </c>
      <c r="D38" s="9">
        <f>IFERROR(__xludf.DUMMYFUNCTION("vlookup(A38,importrange(""https://docs.google.com/spreadsheets/d/1arpJoJSlKHkJ-Zn4sJxqp3okt8tUTIYCnkob2xnYiCU/edit?usp=sharing"",""Jan 2026!$A:$AJ""),36,0)+vlookup(A38,importrange(""https://docs.google.com/spreadsheets/d/1arpJoJSlKHkJ-Zn4sJxqp3okt8tUTIYCn"&amp;"kob2xnYiCU/edit?usp=sharing"",""Feb 2026!$A:$AJ""),36,0)+vlookup(A38,importrange(""https://docs.google.com/spreadsheets/d/1arpJoJSlKHkJ-Zn4sJxqp3okt8tUTIYCnkob2xnYiCU/edit?usp=sharing"",""Mar 2026!$A:$AJ""),36,0)+vlookup(A38,importrange(""https://docs.goo"&amp;"gle.com/spreadsheets/d/1arpJoJSlKHkJ-Zn4sJxqp3okt8tUTIYCnkob2xnYiCU/edit?usp=sharing"",""Apr 2026!$A:$AJ""),36,0)+vlookup(A38,importrange(""https://docs.google.com/spreadsheets/d/1arpJoJSlKHkJ-Zn4sJxqp3okt8tUTIYCnkob2xnYiCU/edit?usp=sharing"",""May 2026!$"&amp;"A:$AJ""),36,0)+vlookup(A38,importrange(""https://docs.google.com/spreadsheets/d/1arpJoJSlKHkJ-Zn4sJxqp3okt8tUTIYCnkob2xnYiCU/edit?usp=sharing"",""June 2026!$A:$AJ""),36,0)+vlookup(A38,importrange(""https://docs.google.com/spreadsheets/d/1arpJoJSlKHkJ-Zn4s"&amp;"Jxqp3okt8tUTIYCnkob2xnYiCU/edit?usp=sharing"",""Current Month!$A:$AJ""),36,0)"),4.0)</f>
        <v>4</v>
      </c>
      <c r="E38" s="9">
        <f>IFERROR(__xludf.DUMMYFUNCTION("vlookup(A38,importrange(""https://docs.google.com/spreadsheets/d/1arpJoJSlKHkJ-Zn4sJxqp3okt8tUTIYCnkob2xnYiCU/edit?usp=sharing"",""Jan 2026!$A:$AK""),37,0)+vlookup(A38,importrange(""https://docs.google.com/spreadsheets/d/1arpJoJSlKHkJ-Zn4sJxqp3okt8tUTIYCn"&amp;"kob2xnYiCU/edit?usp=sharing"",""Feb 2026!$A:$AK""),37,0)+vlookup(A38,importrange(""https://docs.google.com/spreadsheets/d/1arpJoJSlKHkJ-Zn4sJxqp3okt8tUTIYCnkob2xnYiCU/edit?usp=sharing"",""Mar 2026!$A:$AK""),37,0)+vlookup(A38,importrange(""https://docs.goo"&amp;"gle.com/spreadsheets/d/1arpJoJSlKHkJ-Zn4sJxqp3okt8tUTIYCnkob2xnYiCU/edit?usp=sharing"",""Apr 2026!$A:$AK""),37,0)+vlookup(A38,importrange(""https://docs.google.com/spreadsheets/d/1arpJoJSlKHkJ-Zn4sJxqp3okt8tUTIYCnkob2xnYiCU/edit?usp=sharing"",""May 2026!$"&amp;"A:$AK""),37,0)+vlookup(A38,importrange(""https://docs.google.com/spreadsheets/d/1arpJoJSlKHkJ-Zn4sJxqp3okt8tUTIYCnkob2xnYiCU/edit?usp=sharing"",""June 2026!$A:$AK""),37,0)+vlookup(A38,importrange(""https://docs.google.com/spreadsheets/d/1arpJoJSlKHkJ-Zn4s"&amp;"Jxqp3okt8tUTIYCnkob2xnYiCU/edit?usp=sharing"",""Current Month!$A:$AK""),37,0)"),0.0)</f>
        <v>0</v>
      </c>
      <c r="F38" s="9">
        <f t="shared" si="1"/>
        <v>3</v>
      </c>
      <c r="G38" s="9">
        <f>IFERROR(__xludf.DUMMYFUNCTION("vlookup(A38,importrange(""https://docs.google.com/spreadsheets/d/1arpJoJSlKHkJ-Zn4sJxqp3okt8tUTIYCnkob2xnYiCU/edit?usp=sharing"",""Jan 2026!$A:$AN""),40,0)+vlookup(A38,importrange(""https://docs.google.com/spreadsheets/d/1arpJoJSlKHkJ-Zn4sJxqp3okt8tUTIYCn"&amp;"kob2xnYiCU/edit?usp=sharing"",""Feb 2026!$A:$AN""),40,0)+vlookup(A38,importrange(""https://docs.google.com/spreadsheets/d/1arpJoJSlKHkJ-Zn4sJxqp3okt8tUTIYCnkob2xnYiCU/edit?usp=sharing"",""Mar 2026!$A:$AN""),40,0)+vlookup(A38,importrange(""https://docs.goo"&amp;"gle.com/spreadsheets/d/1arpJoJSlKHkJ-Zn4sJxqp3okt8tUTIYCnkob2xnYiCU/edit?usp=sharing"",""Apr 2026!$A:$AN""),40,0)+vlookup(A38,importrange(""https://docs.google.com/spreadsheets/d/1arpJoJSlKHkJ-Zn4sJxqp3okt8tUTIYCnkob2xnYiCU/edit?usp=sharing"",""May 2026!$"&amp;"A:$AN""),40,0)+vlookup(A38,importrange(""https://docs.google.com/spreadsheets/d/1arpJoJSlKHkJ-Zn4sJxqp3okt8tUTIYCnkob2xnYiCU/edit?usp=sharing"",""June 2026!$A:$AN""),40,0)+vlookup(A38,importrange(""https://docs.google.com/spreadsheets/d/1arpJoJSlKHkJ-Zn4s"&amp;"Jxqp3okt8tUTIYCnkob2xnYiCU/edit?usp=sharing"",""Current Month!$A:$AN""),40,0)"),1.0)</f>
        <v>1</v>
      </c>
      <c r="H38" s="9">
        <v>12.0</v>
      </c>
      <c r="I38" s="10">
        <f t="shared" si="2"/>
        <v>17</v>
      </c>
      <c r="J38" s="9">
        <f>IFERROR(__xludf.DUMMYFUNCTION("vlookup(A38,importrange(""https://docs.google.com/spreadsheets/d/1arpJoJSlKHkJ-Zn4sJxqp3okt8tUTIYCnkob2xnYiCU/edit?usp=sharing"",""Jan 2026!$A:$AP""),41,0)+vlookup(A38,importrange(""https://docs.google.com/spreadsheets/d/1arpJoJSlKHkJ-Zn4sJxqp3okt8tUTIYCn"&amp;"kob2xnYiCU/edit?usp=sharing"",""Feb 2026!$A:$AP""),41,0)+vlookup(A38,importrange(""https://docs.google.com/spreadsheets/d/1arpJoJSlKHkJ-Zn4sJxqp3okt8tUTIYCnkob2xnYiCU/edit?usp=sharing"",""Mar 2026!$A:$AP""),41,0)+vlookup(A38,importrange(""https://docs.goo"&amp;"gle.com/spreadsheets/d/1arpJoJSlKHkJ-Zn4sJxqp3okt8tUTIYCnkob2xnYiCU/edit?usp=sharing"",""Current Month!$A:$AP""),41,0)"),19.0)</f>
        <v>19</v>
      </c>
      <c r="K38" s="11">
        <f>IFERROR(__xludf.DUMMYFUNCTION("J38/((vlookup(A38,importrange(""https://docs.google.com/spreadsheets/d/1arpJoJSlKHkJ-Zn4sJxqp3okt8tUTIYCnkob2xnYiCU/edit?usp=sharing"",""Jan 2026!$A:$AG""),33,0))+(vlookup(A38,importrange(""https://docs.google.com/spreadsheets/d/1arpJoJSlKHkJ-Zn4sJxqp3okt"&amp;"8tUTIYCnkob2xnYiCU/edit?usp=sharing"",""Feb 2026!$A:$AG""),33,0))+(vlookup(A38,importrange(""https://docs.google.com/spreadsheets/d/1arpJoJSlKHkJ-Zn4sJxqp3okt8tUTIYCnkob2xnYiCU/edit?usp=sharing"",""Mar 2026!$A:$AG""),33,0))+(vlookup(A38,importrange(""http"&amp;"s://docs.google.com/spreadsheets/d/1arpJoJSlKHkJ-Zn4sJxqp3okt8tUTIYCnkob2xnYiCU/edit?usp=sharing"",""Apr 2026!$A:$AG""),33,0))+(vlookup(A38,importrange(""https://docs.google.com/spreadsheets/d/1arpJoJSlKHkJ-Zn4sJxqp3okt8tUTIYCnkob2xnYiCU/edit?usp=sharing"&amp;""",""Current Month!$A:$AG""),33,0)))"),0.2235294117647059)</f>
        <v>0.2235294118</v>
      </c>
      <c r="L38" s="9">
        <f>IFERROR(__xludf.DUMMYFUNCTION("vlookup(A38,importrange(""https://docs.google.com/spreadsheets/d/1arpJoJSlKHkJ-Zn4sJxqp3okt8tUTIYCnkob2xnYiCU/edit?usp=sharing"",""Current Month!$A:$AP""),42,0)+vlookup(A38,importrange(""https://docs.google.com/spreadsheets/d/1arpJoJSlKHkJ-Zn4sJxqp3okt8tU"&amp;"TIYCnkob2xnYiCU/edit?usp=sharing"",""Jan 2026!$A:$AP""),42,0)+vlookup(A38,importrange(""https://docs.google.com/spreadsheets/d/1arpJoJSlKHkJ-Zn4sJxqp3okt8tUTIYCnkob2xnYiCU/edit?usp=sharing"",""Feb 2026!$A:$AP""),42,0)+vlookup(A38,importrange(""https://doc"&amp;"s.google.com/spreadsheets/d/1arpJoJSlKHkJ-Zn4sJxqp3okt8tUTIYCnkob2xnYiCU/edit?usp=sharing"",""Mar 2026!$A:$AP""),42,0)+vlookup(A38,importrange(""https://docs.google.com/spreadsheets/d/1arpJoJSlKHkJ-Zn4sJxqp3okt8tUTIYCnkob2xnYiCU/edit?usp=sharing"",""Apr 2"&amp;"026!$A:$AP""),42,0)"),5.0)</f>
        <v>5</v>
      </c>
    </row>
    <row r="39" ht="15.75" customHeight="1">
      <c r="A39" s="8" t="s">
        <v>48</v>
      </c>
      <c r="B39" s="9">
        <f>IFERROR(__xludf.DUMMYFUNCTION("vlookup(A39,importrange(""https://docs.google.com/spreadsheets/d/1arpJoJSlKHkJ-Zn4sJxqp3okt8tUTIYCnkob2xnYiCU/edit?usp=sharing"",""Jan 2026!$A:$AH""),34,0)+vlookup(A39,importrange(""https://docs.google.com/spreadsheets/d/1arpJoJSlKHkJ-Zn4sJxqp3okt8tUTIYCn"&amp;"kob2xnYiCU/edit?usp=sharing"",""Feb 2026!$A:$AH""),34,0)+vlookup(A39,importrange(""https://docs.google.com/spreadsheets/d/1arpJoJSlKHkJ-Zn4sJxqp3okt8tUTIYCnkob2xnYiCU/edit?usp=sharing"",""Mar 2026!$A:$AH""),34,0)+vlookup(A39,importrange(""https://docs.goo"&amp;"gle.com/spreadsheets/d/1arpJoJSlKHkJ-Zn4sJxqp3okt8tUTIYCnkob2xnYiCU/edit?usp=sharing"",""Apr 2026!$A:$AH""),34,0)+vlookup(A39,importrange(""https://docs.google.com/spreadsheets/d/1arpJoJSlKHkJ-Zn4sJxqp3okt8tUTIYCnkob2xnYiCU/edit?usp=sharing"",""May 2026!$"&amp;"A:$AH""),34,0)+vlookup(A39,importrange(""https://docs.google.com/spreadsheets/d/1arpJoJSlKHkJ-Zn4sJxqp3okt8tUTIYCnkob2xnYiCU/edit?usp=sharing"",""June 2026!$A:$AH""),34,0)+vlookup(A39,importrange(""https://docs.google.com/spreadsheets/d/1arpJoJSlKHkJ-Zn4s"&amp;"Jxqp3okt8tUTIYCnkob2xnYiCU/edit?usp=sharing"",""Current Month!$A:$AH""),34,0)"),8.0)</f>
        <v>8</v>
      </c>
      <c r="C39" s="9">
        <f>IFERROR(__xludf.DUMMYFUNCTION("vlookup(A39,importrange(""https://docs.google.com/spreadsheets/d/1arpJoJSlKHkJ-Zn4sJxqp3okt8tUTIYCnkob2xnYiCU/edit?usp=sharing"",""Jan 2026!$A:$AI""),35,0)+vlookup(A39,importrange(""https://docs.google.com/spreadsheets/d/1arpJoJSlKHkJ-Zn4sJxqp3okt8tUTIYCn"&amp;"kob2xnYiCU/edit?usp=sharing"",""Feb 2026!$A:$AI""),35,0)+vlookup(A39,importrange(""https://docs.google.com/spreadsheets/d/1arpJoJSlKHkJ-Zn4sJxqp3okt8tUTIYCnkob2xnYiCU/edit?usp=sharing"",""Mar 2026!$A:$AI""),35,0)+vlookup(A39,importrange(""https://docs.goo"&amp;"gle.com/spreadsheets/d/1arpJoJSlKHkJ-Zn4sJxqp3okt8tUTIYCnkob2xnYiCU/edit?usp=sharing"",""Apr 2026!$A:$AI""),35,0)+vlookup(A39,importrange(""https://docs.google.com/spreadsheets/d/1arpJoJSlKHkJ-Zn4sJxqp3okt8tUTIYCnkob2xnYiCU/edit?usp=sharing"",""May 2026!$"&amp;"A:$AI""),35,0)+vlookup(A39,importrange(""https://docs.google.com/spreadsheets/d/1arpJoJSlKHkJ-Zn4sJxqp3okt8tUTIYCnkob2xnYiCU/edit?usp=sharing"",""June 2026!$A:$AI""),35,0)+vlookup(A39,importrange(""https://docs.google.com/spreadsheets/d/1arpJoJSlKHkJ-Zn4s"&amp;"Jxqp3okt8tUTIYCnkob2xnYiCU/edit?usp=sharing"",""Current Month!$A:$AI""),35,0)"),0.0)</f>
        <v>0</v>
      </c>
      <c r="D39" s="9">
        <f>IFERROR(__xludf.DUMMYFUNCTION("vlookup(A39,importrange(""https://docs.google.com/spreadsheets/d/1arpJoJSlKHkJ-Zn4sJxqp3okt8tUTIYCnkob2xnYiCU/edit?usp=sharing"",""Jan 2026!$A:$AJ""),36,0)+vlookup(A39,importrange(""https://docs.google.com/spreadsheets/d/1arpJoJSlKHkJ-Zn4sJxqp3okt8tUTIYCn"&amp;"kob2xnYiCU/edit?usp=sharing"",""Feb 2026!$A:$AJ""),36,0)+vlookup(A39,importrange(""https://docs.google.com/spreadsheets/d/1arpJoJSlKHkJ-Zn4sJxqp3okt8tUTIYCnkob2xnYiCU/edit?usp=sharing"",""Mar 2026!$A:$AJ""),36,0)+vlookup(A39,importrange(""https://docs.goo"&amp;"gle.com/spreadsheets/d/1arpJoJSlKHkJ-Zn4sJxqp3okt8tUTIYCnkob2xnYiCU/edit?usp=sharing"",""Apr 2026!$A:$AJ""),36,0)+vlookup(A39,importrange(""https://docs.google.com/spreadsheets/d/1arpJoJSlKHkJ-Zn4sJxqp3okt8tUTIYCnkob2xnYiCU/edit?usp=sharing"",""May 2026!$"&amp;"A:$AJ""),36,0)+vlookup(A39,importrange(""https://docs.google.com/spreadsheets/d/1arpJoJSlKHkJ-Zn4sJxqp3okt8tUTIYCnkob2xnYiCU/edit?usp=sharing"",""June 2026!$A:$AJ""),36,0)+vlookup(A39,importrange(""https://docs.google.com/spreadsheets/d/1arpJoJSlKHkJ-Zn4s"&amp;"Jxqp3okt8tUTIYCnkob2xnYiCU/edit?usp=sharing"",""Current Month!$A:$AJ""),36,0)"),2.0)</f>
        <v>2</v>
      </c>
      <c r="E39" s="9">
        <f>IFERROR(__xludf.DUMMYFUNCTION("vlookup(A39,importrange(""https://docs.google.com/spreadsheets/d/1arpJoJSlKHkJ-Zn4sJxqp3okt8tUTIYCnkob2xnYiCU/edit?usp=sharing"",""Jan 2026!$A:$AK""),37,0)+vlookup(A39,importrange(""https://docs.google.com/spreadsheets/d/1arpJoJSlKHkJ-Zn4sJxqp3okt8tUTIYCn"&amp;"kob2xnYiCU/edit?usp=sharing"",""Feb 2026!$A:$AK""),37,0)+vlookup(A39,importrange(""https://docs.google.com/spreadsheets/d/1arpJoJSlKHkJ-Zn4sJxqp3okt8tUTIYCnkob2xnYiCU/edit?usp=sharing"",""Mar 2026!$A:$AK""),37,0)+vlookup(A39,importrange(""https://docs.goo"&amp;"gle.com/spreadsheets/d/1arpJoJSlKHkJ-Zn4sJxqp3okt8tUTIYCnkob2xnYiCU/edit?usp=sharing"",""Apr 2026!$A:$AK""),37,0)+vlookup(A39,importrange(""https://docs.google.com/spreadsheets/d/1arpJoJSlKHkJ-Zn4sJxqp3okt8tUTIYCnkob2xnYiCU/edit?usp=sharing"",""May 2026!$"&amp;"A:$AK""),37,0)+vlookup(A39,importrange(""https://docs.google.com/spreadsheets/d/1arpJoJSlKHkJ-Zn4sJxqp3okt8tUTIYCnkob2xnYiCU/edit?usp=sharing"",""June 2026!$A:$AK""),37,0)+vlookup(A39,importrange(""https://docs.google.com/spreadsheets/d/1arpJoJSlKHkJ-Zn4s"&amp;"Jxqp3okt8tUTIYCnkob2xnYiCU/edit?usp=sharing"",""Current Month!$A:$AK""),37,0)"),0.0)</f>
        <v>0</v>
      </c>
      <c r="F39" s="9">
        <f t="shared" si="1"/>
        <v>4</v>
      </c>
      <c r="G39" s="9">
        <f>IFERROR(__xludf.DUMMYFUNCTION("vlookup(A39,importrange(""https://docs.google.com/spreadsheets/d/1arpJoJSlKHkJ-Zn4sJxqp3okt8tUTIYCnkob2xnYiCU/edit?usp=sharing"",""Jan 2026!$A:$AN""),40,0)+vlookup(A39,importrange(""https://docs.google.com/spreadsheets/d/1arpJoJSlKHkJ-Zn4sJxqp3okt8tUTIYCn"&amp;"kob2xnYiCU/edit?usp=sharing"",""Feb 2026!$A:$AN""),40,0)+vlookup(A39,importrange(""https://docs.google.com/spreadsheets/d/1arpJoJSlKHkJ-Zn4sJxqp3okt8tUTIYCnkob2xnYiCU/edit?usp=sharing"",""Mar 2026!$A:$AN""),40,0)+vlookup(A39,importrange(""https://docs.goo"&amp;"gle.com/spreadsheets/d/1arpJoJSlKHkJ-Zn4sJxqp3okt8tUTIYCnkob2xnYiCU/edit?usp=sharing"",""Apr 2026!$A:$AN""),40,0)+vlookup(A39,importrange(""https://docs.google.com/spreadsheets/d/1arpJoJSlKHkJ-Zn4sJxqp3okt8tUTIYCnkob2xnYiCU/edit?usp=sharing"",""May 2026!$"&amp;"A:$AN""),40,0)+vlookup(A39,importrange(""https://docs.google.com/spreadsheets/d/1arpJoJSlKHkJ-Zn4sJxqp3okt8tUTIYCnkob2xnYiCU/edit?usp=sharing"",""June 2026!$A:$AN""),40,0)+vlookup(A39,importrange(""https://docs.google.com/spreadsheets/d/1arpJoJSlKHkJ-Zn4s"&amp;"Jxqp3okt8tUTIYCnkob2xnYiCU/edit?usp=sharing"",""Current Month!$A:$AN""),40,0)"),0.0)</f>
        <v>0</v>
      </c>
      <c r="H39" s="9">
        <v>12.0</v>
      </c>
      <c r="I39" s="10">
        <f t="shared" si="2"/>
        <v>13</v>
      </c>
      <c r="J39" s="9">
        <f>IFERROR(__xludf.DUMMYFUNCTION("vlookup(A39,importrange(""https://docs.google.com/spreadsheets/d/1arpJoJSlKHkJ-Zn4sJxqp3okt8tUTIYCnkob2xnYiCU/edit?usp=sharing"",""Jan 2026!$A:$AP""),41,0)+vlookup(A39,importrange(""https://docs.google.com/spreadsheets/d/1arpJoJSlKHkJ-Zn4sJxqp3okt8tUTIYCn"&amp;"kob2xnYiCU/edit?usp=sharing"",""Feb 2026!$A:$AP""),41,0)+vlookup(A39,importrange(""https://docs.google.com/spreadsheets/d/1arpJoJSlKHkJ-Zn4sJxqp3okt8tUTIYCnkob2xnYiCU/edit?usp=sharing"",""Mar 2026!$A:$AP""),41,0)+vlookup(A39,importrange(""https://docs.goo"&amp;"gle.com/spreadsheets/d/1arpJoJSlKHkJ-Zn4sJxqp3okt8tUTIYCnkob2xnYiCU/edit?usp=sharing"",""Current Month!$A:$AP""),41,0)"),1.0)</f>
        <v>1</v>
      </c>
      <c r="K39" s="11">
        <f>IFERROR(__xludf.DUMMYFUNCTION("J39/((vlookup(A39,importrange(""https://docs.google.com/spreadsheets/d/1arpJoJSlKHkJ-Zn4sJxqp3okt8tUTIYCnkob2xnYiCU/edit?usp=sharing"",""Jan 2026!$A:$AG""),33,0))+(vlookup(A39,importrange(""https://docs.google.com/spreadsheets/d/1arpJoJSlKHkJ-Zn4sJxqp3okt"&amp;"8tUTIYCnkob2xnYiCU/edit?usp=sharing"",""Feb 2026!$A:$AG""),33,0))+(vlookup(A39,importrange(""https://docs.google.com/spreadsheets/d/1arpJoJSlKHkJ-Zn4sJxqp3okt8tUTIYCnkob2xnYiCU/edit?usp=sharing"",""Mar 2026!$A:$AG""),33,0))+(vlookup(A39,importrange(""http"&amp;"s://docs.google.com/spreadsheets/d/1arpJoJSlKHkJ-Zn4sJxqp3okt8tUTIYCnkob2xnYiCU/edit?usp=sharing"",""Apr 2026!$A:$AG""),33,0))+(vlookup(A39,importrange(""https://docs.google.com/spreadsheets/d/1arpJoJSlKHkJ-Zn4sJxqp3okt8tUTIYCnkob2xnYiCU/edit?usp=sharing"&amp;""",""Current Month!$A:$AG""),33,0)))"),0.011363636363636364)</f>
        <v>0.01136363636</v>
      </c>
      <c r="L39" s="9">
        <f>IFERROR(__xludf.DUMMYFUNCTION("vlookup(A39,importrange(""https://docs.google.com/spreadsheets/d/1arpJoJSlKHkJ-Zn4sJxqp3okt8tUTIYCnkob2xnYiCU/edit?usp=sharing"",""Current Month!$A:$AP""),42,0)+vlookup(A39,importrange(""https://docs.google.com/spreadsheets/d/1arpJoJSlKHkJ-Zn4sJxqp3okt8tU"&amp;"TIYCnkob2xnYiCU/edit?usp=sharing"",""Jan 2026!$A:$AP""),42,0)+vlookup(A39,importrange(""https://docs.google.com/spreadsheets/d/1arpJoJSlKHkJ-Zn4sJxqp3okt8tUTIYCnkob2xnYiCU/edit?usp=sharing"",""Feb 2026!$A:$AP""),42,0)+vlookup(A39,importrange(""https://doc"&amp;"s.google.com/spreadsheets/d/1arpJoJSlKHkJ-Zn4sJxqp3okt8tUTIYCnkob2xnYiCU/edit?usp=sharing"",""Mar 2026!$A:$AP""),42,0)+vlookup(A39,importrange(""https://docs.google.com/spreadsheets/d/1arpJoJSlKHkJ-Zn4sJxqp3okt8tUTIYCnkob2xnYiCU/edit?usp=sharing"",""Apr 2"&amp;"026!$A:$AP""),42,0)"),1.0)</f>
        <v>1</v>
      </c>
    </row>
    <row r="40" ht="15.75" customHeight="1">
      <c r="A40" s="8" t="s">
        <v>49</v>
      </c>
      <c r="B40" s="9">
        <f>IFERROR(__xludf.DUMMYFUNCTION("vlookup(A40,importrange(""https://docs.google.com/spreadsheets/d/1arpJoJSlKHkJ-Zn4sJxqp3okt8tUTIYCnkob2xnYiCU/edit?usp=sharing"",""Mar 2026!$A:$AH""),34,0)+vlookup(A40,importrange(""https://docs.google.com/spreadsheets/d/1arpJoJSlKHkJ-Zn4sJxqp3okt8tUTIYCn"&amp;"kob2xnYiCU/edit?usp=sharing"",""Apr 2026!$A:$AH""),34,0)+vlookup(A40,importrange(""https://docs.google.com/spreadsheets/d/1arpJoJSlKHkJ-Zn4sJxqp3okt8tUTIYCnkob2xnYiCU/edit?usp=sharing"",""May 2026!$A:$AH""),34,0)+vlookup(A40,importrange(""https://docs.goo"&amp;"gle.com/spreadsheets/d/1arpJoJSlKHkJ-Zn4sJxqp3okt8tUTIYCnkob2xnYiCU/edit?usp=sharing"",""June 2026!$A:$AH""),34,0)+vlookup(A40,importrange(""https://docs.google.com/spreadsheets/d/1arpJoJSlKHkJ-Zn4sJxqp3okt8tUTIYCnkob2xnYiCU/edit?usp=sharing"",""Current M"&amp;"onth!$A:$AH""),34,0)"),0.0)</f>
        <v>0</v>
      </c>
      <c r="C40" s="9">
        <f>IFERROR(__xludf.DUMMYFUNCTION("vlookup(A40,importrange(""https://docs.google.com/spreadsheets/d/1arpJoJSlKHkJ-Zn4sJxqp3okt8tUTIYCnkob2xnYiCU/edit?usp=sharing"",""Mar 2026!$A:$AI""),35,0)+vlookup(A40,importrange(""https://docs.google.com/spreadsheets/d/1arpJoJSlKHkJ-Zn4sJxqp3okt8tUTIYCn"&amp;"kob2xnYiCU/edit?usp=sharing"",""Apr 2026!$A:$AI""),35,0)+vlookup(A40,importrange(""https://docs.google.com/spreadsheets/d/1arpJoJSlKHkJ-Zn4sJxqp3okt8tUTIYCnkob2xnYiCU/edit?usp=sharing"",""May 2026!$A:$AI""),35,0)+vlookup(A40,importrange(""https://docs.goo"&amp;"gle.com/spreadsheets/d/1arpJoJSlKHkJ-Zn4sJxqp3okt8tUTIYCnkob2xnYiCU/edit?usp=sharing"",""June 2026!$A:$AI""),35,0)+vlookup(A40,importrange(""https://docs.google.com/spreadsheets/d/1arpJoJSlKHkJ-Zn4sJxqp3okt8tUTIYCnkob2xnYiCU/edit?usp=sharing"",""Current M"&amp;"onth!$A:$AI""),35,0)"),1.0)</f>
        <v>1</v>
      </c>
      <c r="D40" s="9">
        <f>IFERROR(__xludf.DUMMYFUNCTION("vlookup(A40,importrange(""https://docs.google.com/spreadsheets/d/1arpJoJSlKHkJ-Zn4sJxqp3okt8tUTIYCnkob2xnYiCU/edit?usp=sharing"",""Mar 2026!$A:$AJ""),36,0)+vlookup(A40,importrange(""https://docs.google.com/spreadsheets/d/1arpJoJSlKHkJ-Zn4sJxqp3okt8tUTIYCn"&amp;"kob2xnYiCU/edit?usp=sharing"",""Apr 2026!$A:$AJ""),36,0)+vlookup(A40,importrange(""https://docs.google.com/spreadsheets/d/1arpJoJSlKHkJ-Zn4sJxqp3okt8tUTIYCnkob2xnYiCU/edit?usp=sharing"",""May 2026!$A:$AJ""),36,0)+vlookup(A40,importrange(""https://docs.goo"&amp;"gle.com/spreadsheets/d/1arpJoJSlKHkJ-Zn4sJxqp3okt8tUTIYCnkob2xnYiCU/edit?usp=sharing"",""June 2026!$A:$AJ""),36,0)+vlookup(A40,importrange(""https://docs.google.com/spreadsheets/d/1arpJoJSlKHkJ-Zn4sJxqp3okt8tUTIYCnkob2xnYiCU/edit?usp=sharing"",""Current M"&amp;"onth!$A:$AJ""),36,0)"),2.0)</f>
        <v>2</v>
      </c>
      <c r="E40" s="9">
        <f>IFERROR(__xludf.DUMMYFUNCTION("vlookup(A40,importrange(""https://docs.google.com/spreadsheets/d/1arpJoJSlKHkJ-Zn4sJxqp3okt8tUTIYCnkob2xnYiCU/edit?usp=sharing"",""Mar 2026!$A:$AK""),37,0)+vlookup(A40,importrange(""https://docs.google.com/spreadsheets/d/1arpJoJSlKHkJ-Zn4sJxqp3okt8tUTIYCn"&amp;"kob2xnYiCU/edit?usp=sharing"",""Apr 2026!$A:$AK""),37,0)+vlookup(A40,importrange(""https://docs.google.com/spreadsheets/d/1arpJoJSlKHkJ-Zn4sJxqp3okt8tUTIYCnkob2xnYiCU/edit?usp=sharing"",""May 2026!$A:$AK""),37,0)+vlookup(A40,importrange(""https://docs.goo"&amp;"gle.com/spreadsheets/d/1arpJoJSlKHkJ-Zn4sJxqp3okt8tUTIYCnkob2xnYiCU/edit?usp=sharing"",""June 2026!$A:$AK""),37,0)+vlookup(A40,importrange(""https://docs.google.com/spreadsheets/d/1arpJoJSlKHkJ-Zn4sJxqp3okt8tUTIYCnkob2xnYiCU/edit?usp=sharing"",""Current M"&amp;"onth!$A:$AK""),37,0)"),0.0)</f>
        <v>0</v>
      </c>
      <c r="F40" s="9">
        <f t="shared" si="1"/>
        <v>3</v>
      </c>
      <c r="G40" s="9">
        <f>IFERROR(__xludf.DUMMYFUNCTION("vlookup(A40,importrange(""https://docs.google.com/spreadsheets/d/1arpJoJSlKHkJ-Zn4sJxqp3okt8tUTIYCnkob2xnYiCU/edit?usp=sharing"",""Mar 2026!$A:$AN""),40,0)+vlookup(A40,importrange(""https://docs.google.com/spreadsheets/d/1arpJoJSlKHkJ-Zn4sJxqp3okt8tUTIYCn"&amp;"kob2xnYiCU/edit?usp=sharing"",""Apr 2026!$A:$AN""),40,0)+vlookup(A40,importrange(""https://docs.google.com/spreadsheets/d/1arpJoJSlKHkJ-Zn4sJxqp3okt8tUTIYCnkob2xnYiCU/edit?usp=sharing"",""May 2026!$A:$AN""),40,0)+vlookup(A40,importrange(""https://docs.goo"&amp;"gle.com/spreadsheets/d/1arpJoJSlKHkJ-Zn4sJxqp3okt8tUTIYCnkob2xnYiCU/edit?usp=sharing"",""June 2026!$A:$AN""),40,0)+vlookup(A40,importrange(""https://docs.google.com/spreadsheets/d/1arpJoJSlKHkJ-Zn4sJxqp3okt8tUTIYCnkob2xnYiCU/edit?usp=sharing"",""Current M"&amp;"onth!$A:$AN""),40,0)"),1.0)</f>
        <v>1</v>
      </c>
      <c r="H40" s="13">
        <v>10.0</v>
      </c>
      <c r="I40" s="10">
        <f t="shared" si="2"/>
        <v>17</v>
      </c>
      <c r="J40" s="9">
        <f>IFERROR(__xludf.DUMMYFUNCTION("vlookup(A40,importrange(""https://docs.google.com/spreadsheets/d/1arpJoJSlKHkJ-Zn4sJxqp3okt8tUTIYCnkob2xnYiCU/edit?usp=sharing"",""Mar 2026!$A:$AP""),41,0)+vlookup(A40,importrange(""https://docs.google.com/spreadsheets/d/1arpJoJSlKHkJ-Zn4sJxqp3okt8tUTIYCn"&amp;"kob2xnYiCU/edit?usp=sharing"",""Current Month!$A:$AP""),41,0)"),0.0)</f>
        <v>0</v>
      </c>
      <c r="K40" s="11">
        <f>IFERROR(__xludf.DUMMYFUNCTION("J40/((vlookup(A40,importrange(""https://docs.google.com/spreadsheets/d/1arpJoJSlKHkJ-Zn4sJxqp3okt8tUTIYCnkob2xnYiCU/edit?usp=sharing"",""Mar 2026!$A:$AG""),33,0))+(vlookup(A40,importrange(""https://docs.google.com/spreadsheets/d/1arpJoJSlKHkJ-Zn4sJxqp3okt"&amp;"8tUTIYCnkob2xnYiCU/edit?usp=sharing"",""Current Month!$A:$AG""),33,0)))"),0.0)</f>
        <v>0</v>
      </c>
      <c r="L40" s="9">
        <f>IFERROR(__xludf.DUMMYFUNCTION("vlookup(A40,importrange(""https://docs.google.com/spreadsheets/d/1arpJoJSlKHkJ-Zn4sJxqp3okt8tUTIYCnkob2xnYiCU/edit?usp=sharing"",""Current Month!$A:$AP""),42,0)+vlookup(A40,importrange(""https://docs.google.com/spreadsheets/d/1arpJoJSlKHkJ-Zn4sJxqp3okt8tU"&amp;"TIYCnkob2xnYiCU/edit?usp=sharing"",""Mar 2026!$A:$AP""),42,0)"),3.0)</f>
        <v>3</v>
      </c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3"/>
    </row>
    <row r="42" ht="15.75" customHeight="1">
      <c r="A42" s="14"/>
      <c r="B42" s="14"/>
      <c r="C42" s="14"/>
      <c r="D42" s="15"/>
      <c r="E42" s="14"/>
      <c r="F42" s="15"/>
      <c r="G42" s="15"/>
      <c r="H42" s="15"/>
      <c r="I42" s="14"/>
      <c r="J42" s="16"/>
      <c r="K42" s="17"/>
      <c r="L42" s="16"/>
    </row>
    <row r="43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</row>
    <row r="44" ht="15.75" customHeight="1">
      <c r="A44" s="19"/>
      <c r="B44" s="20"/>
      <c r="C44" s="20"/>
      <c r="D44" s="20"/>
      <c r="E44" s="20"/>
      <c r="F44" s="20"/>
      <c r="G44" s="20"/>
      <c r="H44" s="20"/>
      <c r="I44" s="21"/>
      <c r="J44" s="20"/>
      <c r="K44" s="3"/>
      <c r="L44" s="20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3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3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3"/>
    </row>
    <row r="48" ht="15.75" customHeight="1">
      <c r="A48" s="22" t="s">
        <v>0</v>
      </c>
      <c r="B48" s="22" t="s">
        <v>1</v>
      </c>
      <c r="C48" s="22" t="s">
        <v>2</v>
      </c>
      <c r="D48" s="22" t="s">
        <v>3</v>
      </c>
      <c r="E48" s="22" t="s">
        <v>4</v>
      </c>
      <c r="F48" s="22" t="s">
        <v>5</v>
      </c>
      <c r="G48" s="22" t="s">
        <v>6</v>
      </c>
      <c r="H48" s="22" t="s">
        <v>8</v>
      </c>
      <c r="I48" s="22" t="s">
        <v>9</v>
      </c>
      <c r="J48" s="22" t="s">
        <v>11</v>
      </c>
      <c r="K48" s="3"/>
    </row>
    <row r="49" ht="15.75" customHeight="1">
      <c r="A49" s="13" t="s">
        <v>44</v>
      </c>
      <c r="B49" s="23">
        <v>5.0</v>
      </c>
      <c r="C49" s="23">
        <v>11.5</v>
      </c>
      <c r="D49" s="23">
        <v>0.0</v>
      </c>
      <c r="E49" s="23">
        <v>0.0</v>
      </c>
      <c r="F49" s="23">
        <v>0.0</v>
      </c>
      <c r="G49" s="23">
        <v>4.0</v>
      </c>
      <c r="H49" s="23">
        <v>4.5</v>
      </c>
      <c r="I49" s="23">
        <v>16.0</v>
      </c>
      <c r="J49" s="24">
        <v>1.0</v>
      </c>
      <c r="K49" s="3"/>
    </row>
    <row r="50" ht="15.75" customHeight="1">
      <c r="A50" s="25"/>
      <c r="B50" s="2"/>
      <c r="C50" s="2"/>
      <c r="D50" s="2"/>
      <c r="E50" s="2"/>
      <c r="F50" s="2"/>
      <c r="G50" s="2"/>
      <c r="H50" s="2"/>
      <c r="I50" s="2"/>
      <c r="J50" s="2"/>
      <c r="K50" s="3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3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3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3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3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3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3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3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3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3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3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3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3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3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3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3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3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3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3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3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3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3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3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3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3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3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3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3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3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3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3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3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3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3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3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3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3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3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3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3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3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3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3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3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3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3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3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3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3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3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3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3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3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3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3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3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3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3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3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3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3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3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3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3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3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3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3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3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3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3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3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3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3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3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3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3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3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3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3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3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3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3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3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3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3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3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3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3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3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3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3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3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3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3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3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3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3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3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3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3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3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3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3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3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3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3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3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3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3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3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3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3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3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3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3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3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3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3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3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3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3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3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3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3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3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3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3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3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3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3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3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3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3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3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3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</sheetData>
  <conditionalFormatting sqref="I3:I40 I44">
    <cfRule type="colorScale" priority="1">
      <colorScale>
        <cfvo type="formula" val="0"/>
        <cfvo type="formula" val="10"/>
        <cfvo type="formula" val="21"/>
        <color rgb="FFC00000"/>
        <color rgb="FFFFC000"/>
        <color rgb="FF63BE7B"/>
      </colorScale>
    </cfRule>
  </conditionalFormatting>
  <conditionalFormatting sqref="I3:I40 I44">
    <cfRule type="cellIs" dxfId="0" priority="2" operator="lessThanOrEqual">
      <formula>7</formula>
    </cfRule>
  </conditionalFormatting>
  <conditionalFormatting sqref="K3:K40 K44">
    <cfRule type="colorScale" priority="3">
      <colorScale>
        <cfvo type="percent" val="15"/>
        <cfvo type="percent" val="45"/>
        <cfvo type="percent" val="100"/>
        <color rgb="FFFFFFFF"/>
        <color rgb="FFABDDC5"/>
        <color rgb="FFCC4125"/>
      </colorScale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9.43"/>
  </cols>
  <sheetData>
    <row r="2">
      <c r="B2" s="26" t="s">
        <v>50</v>
      </c>
      <c r="C2" s="27"/>
      <c r="D2" s="28"/>
      <c r="E2" s="29"/>
    </row>
    <row r="3">
      <c r="B3" s="30" t="s">
        <v>51</v>
      </c>
      <c r="C3" s="31">
        <v>46023.0</v>
      </c>
      <c r="D3" s="30" t="s">
        <v>52</v>
      </c>
      <c r="E3" s="30" t="str">
        <f t="shared" ref="E3:E10" si="1">text(C3,"DDDD")</f>
        <v>Thursday</v>
      </c>
    </row>
    <row r="4">
      <c r="B4" s="30" t="s">
        <v>53</v>
      </c>
      <c r="C4" s="31">
        <v>46048.0</v>
      </c>
      <c r="D4" s="30" t="s">
        <v>54</v>
      </c>
      <c r="E4" s="30" t="str">
        <f t="shared" si="1"/>
        <v>Monday</v>
      </c>
    </row>
    <row r="5">
      <c r="B5" s="30" t="s">
        <v>55</v>
      </c>
      <c r="C5" s="31">
        <v>46084.0</v>
      </c>
      <c r="D5" s="30" t="s">
        <v>54</v>
      </c>
      <c r="E5" s="30" t="str">
        <f t="shared" si="1"/>
        <v>Tuesday</v>
      </c>
    </row>
    <row r="6">
      <c r="B6" s="30" t="s">
        <v>56</v>
      </c>
      <c r="C6" s="31">
        <v>46100.0</v>
      </c>
      <c r="D6" s="30" t="s">
        <v>52</v>
      </c>
      <c r="E6" s="30" t="str">
        <f t="shared" si="1"/>
        <v>Thursday</v>
      </c>
    </row>
    <row r="7">
      <c r="B7" s="30" t="s">
        <v>57</v>
      </c>
      <c r="C7" s="31">
        <v>46107.0</v>
      </c>
      <c r="D7" s="30" t="s">
        <v>52</v>
      </c>
      <c r="E7" s="30" t="str">
        <f t="shared" si="1"/>
        <v>Thursday</v>
      </c>
    </row>
    <row r="8">
      <c r="B8" s="30" t="s">
        <v>58</v>
      </c>
      <c r="C8" s="31">
        <v>46115.0</v>
      </c>
      <c r="D8" s="30" t="s">
        <v>52</v>
      </c>
      <c r="E8" s="30" t="str">
        <f t="shared" si="1"/>
        <v>Friday</v>
      </c>
    </row>
    <row r="9">
      <c r="B9" s="30" t="s">
        <v>59</v>
      </c>
      <c r="C9" s="31">
        <v>46126.0</v>
      </c>
      <c r="D9" s="30" t="s">
        <v>52</v>
      </c>
      <c r="E9" s="30" t="str">
        <f t="shared" si="1"/>
        <v>Tuesday</v>
      </c>
    </row>
    <row r="10">
      <c r="B10" s="30" t="s">
        <v>60</v>
      </c>
      <c r="C10" s="31">
        <v>46143.0</v>
      </c>
      <c r="D10" s="30" t="s">
        <v>54</v>
      </c>
      <c r="E10" s="30" t="str">
        <f t="shared" si="1"/>
        <v>Friday</v>
      </c>
    </row>
    <row r="11">
      <c r="B11" s="30" t="s">
        <v>61</v>
      </c>
      <c r="C11" s="31">
        <v>46170.0</v>
      </c>
      <c r="D11" s="30" t="s">
        <v>52</v>
      </c>
      <c r="E11" s="32" t="s">
        <v>62</v>
      </c>
    </row>
    <row r="12">
      <c r="B12" s="30" t="s">
        <v>63</v>
      </c>
      <c r="C12" s="31">
        <v>46249.0</v>
      </c>
      <c r="D12" s="30" t="s">
        <v>54</v>
      </c>
      <c r="E12" s="30" t="str">
        <f t="shared" ref="E12:E15" si="2">text(C12,"DDDD")</f>
        <v>Saturday</v>
      </c>
    </row>
    <row r="13">
      <c r="B13" s="30" t="s">
        <v>64</v>
      </c>
      <c r="C13" s="31">
        <v>46260.0</v>
      </c>
      <c r="D13" s="30" t="s">
        <v>52</v>
      </c>
      <c r="E13" s="30" t="str">
        <f t="shared" si="2"/>
        <v>Wednesday</v>
      </c>
    </row>
    <row r="14">
      <c r="B14" s="30" t="s">
        <v>65</v>
      </c>
      <c r="C14" s="31">
        <v>46279.0</v>
      </c>
      <c r="D14" s="30" t="s">
        <v>52</v>
      </c>
      <c r="E14" s="30" t="str">
        <f t="shared" si="2"/>
        <v>Monday</v>
      </c>
    </row>
    <row r="15">
      <c r="B15" s="30" t="s">
        <v>66</v>
      </c>
      <c r="C15" s="31">
        <v>46297.0</v>
      </c>
      <c r="D15" s="30" t="s">
        <v>54</v>
      </c>
      <c r="E15" s="30" t="str">
        <f t="shared" si="2"/>
        <v>Friday</v>
      </c>
    </row>
    <row r="16">
      <c r="B16" s="30" t="s">
        <v>67</v>
      </c>
      <c r="C16" s="31">
        <v>46315.0</v>
      </c>
      <c r="D16" s="30" t="s">
        <v>54</v>
      </c>
      <c r="E16" s="32" t="s">
        <v>68</v>
      </c>
    </row>
    <row r="17">
      <c r="B17" s="30" t="s">
        <v>69</v>
      </c>
      <c r="C17" s="31">
        <v>46336.0</v>
      </c>
      <c r="D17" s="30" t="s">
        <v>54</v>
      </c>
      <c r="E17" s="30" t="str">
        <f t="shared" ref="E17:E19" si="3">text(C17,"DDDD")</f>
        <v>Tuesday</v>
      </c>
    </row>
    <row r="18">
      <c r="B18" s="30" t="s">
        <v>70</v>
      </c>
      <c r="C18" s="31">
        <v>46350.0</v>
      </c>
      <c r="D18" s="30" t="s">
        <v>52</v>
      </c>
      <c r="E18" s="30" t="str">
        <f t="shared" si="3"/>
        <v>Tuesday</v>
      </c>
    </row>
    <row r="19">
      <c r="B19" s="30" t="s">
        <v>71</v>
      </c>
      <c r="C19" s="31">
        <v>46381.0</v>
      </c>
      <c r="D19" s="30" t="s">
        <v>54</v>
      </c>
      <c r="E19" s="30" t="str">
        <f t="shared" si="3"/>
        <v>Friday</v>
      </c>
    </row>
  </sheetData>
  <mergeCells count="1">
    <mergeCell ref="B2:D2"/>
  </mergeCells>
  <drawing r:id="rId1"/>
</worksheet>
</file>