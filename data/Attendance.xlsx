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.shortcut-targets-by-id\0B2ffBJbVamXsM0ZtbW5fUi1kV1k\Operations\Namrata\"/>
    </mc:Choice>
  </mc:AlternateContent>
  <xr:revisionPtr revIDLastSave="0" documentId="13_ncr:1_{65138DCE-0B8A-4BBB-A3CB-1BECBDAFEFEC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Helper" sheetId="1" r:id="rId1"/>
    <sheet name="Current Month" sheetId="2" r:id="rId2"/>
    <sheet name="June 2026" sheetId="3" r:id="rId3"/>
    <sheet name="May 2026" sheetId="4" r:id="rId4"/>
    <sheet name="Apr 2026" sheetId="5" r:id="rId5"/>
  </sheets>
  <definedNames>
    <definedName name="_xlnm._FilterDatabase" localSheetId="4" hidden="1">'Apr 2026'!$A$7:$AP$40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0" i="5" l="1"/>
  <c r="AO40" i="5"/>
  <c r="AN40" i="5"/>
  <c r="AJ40" i="5"/>
  <c r="AI40" i="5"/>
  <c r="AH40" i="5"/>
  <c r="AG40" i="5"/>
  <c r="AP39" i="5"/>
  <c r="AO39" i="5"/>
  <c r="AN39" i="5"/>
  <c r="AJ39" i="5"/>
  <c r="AI39" i="5"/>
  <c r="AH39" i="5"/>
  <c r="AG39" i="5"/>
  <c r="AO38" i="5"/>
  <c r="AN38" i="5"/>
  <c r="AJ38" i="5"/>
  <c r="AI38" i="5"/>
  <c r="AH38" i="5"/>
  <c r="AG38" i="5"/>
  <c r="AP37" i="5"/>
  <c r="AO37" i="5"/>
  <c r="AN37" i="5"/>
  <c r="AJ37" i="5"/>
  <c r="AI37" i="5"/>
  <c r="AH37" i="5"/>
  <c r="AG37" i="5"/>
  <c r="AP36" i="5"/>
  <c r="AO36" i="5"/>
  <c r="AN36" i="5"/>
  <c r="AJ36" i="5"/>
  <c r="AI36" i="5"/>
  <c r="AH36" i="5"/>
  <c r="AG36" i="5"/>
  <c r="AP35" i="5"/>
  <c r="AO35" i="5"/>
  <c r="AN35" i="5"/>
  <c r="AJ35" i="5"/>
  <c r="AI35" i="5"/>
  <c r="AH35" i="5"/>
  <c r="AG35" i="5"/>
  <c r="AP34" i="5"/>
  <c r="AO34" i="5"/>
  <c r="AN34" i="5"/>
  <c r="AM34" i="5"/>
  <c r="AL34" i="5"/>
  <c r="AK34" i="5"/>
  <c r="AJ34" i="5"/>
  <c r="AI34" i="5"/>
  <c r="AH34" i="5"/>
  <c r="AG34" i="5"/>
  <c r="AP33" i="5"/>
  <c r="AO33" i="5"/>
  <c r="AN33" i="5"/>
  <c r="AM33" i="5"/>
  <c r="AL33" i="5"/>
  <c r="AK33" i="5"/>
  <c r="AJ33" i="5"/>
  <c r="AI33" i="5"/>
  <c r="AH33" i="5"/>
  <c r="AG33" i="5"/>
  <c r="AP32" i="5"/>
  <c r="AO32" i="5"/>
  <c r="AN32" i="5"/>
  <c r="AJ32" i="5"/>
  <c r="AI32" i="5"/>
  <c r="AH32" i="5"/>
  <c r="AG32" i="5"/>
  <c r="AP31" i="5"/>
  <c r="AO31" i="5"/>
  <c r="AN31" i="5"/>
  <c r="AJ31" i="5"/>
  <c r="AI31" i="5"/>
  <c r="AH31" i="5"/>
  <c r="AG31" i="5"/>
  <c r="AO30" i="5"/>
  <c r="AN30" i="5"/>
  <c r="AJ30" i="5"/>
  <c r="AI30" i="5"/>
  <c r="AH30" i="5"/>
  <c r="AG30" i="5"/>
  <c r="AP29" i="5"/>
  <c r="AO29" i="5"/>
  <c r="AN29" i="5"/>
  <c r="AM29" i="5"/>
  <c r="AL29" i="5"/>
  <c r="AK29" i="5"/>
  <c r="AJ29" i="5"/>
  <c r="AI29" i="5"/>
  <c r="AH29" i="5"/>
  <c r="AG29" i="5"/>
  <c r="AP28" i="5"/>
  <c r="AO28" i="5"/>
  <c r="AN28" i="5"/>
  <c r="AJ28" i="5"/>
  <c r="AI28" i="5"/>
  <c r="AH28" i="5"/>
  <c r="AG28" i="5"/>
  <c r="AP27" i="5"/>
  <c r="AO27" i="5"/>
  <c r="AN27" i="5"/>
  <c r="AJ27" i="5"/>
  <c r="AI27" i="5"/>
  <c r="AH27" i="5"/>
  <c r="AG27" i="5"/>
  <c r="AO26" i="5"/>
  <c r="AN26" i="5"/>
  <c r="AJ26" i="5"/>
  <c r="AI26" i="5"/>
  <c r="AH26" i="5"/>
  <c r="AG26" i="5"/>
  <c r="AP25" i="5"/>
  <c r="AO25" i="5"/>
  <c r="AN25" i="5"/>
  <c r="AJ25" i="5"/>
  <c r="AI25" i="5"/>
  <c r="AH25" i="5"/>
  <c r="AG25" i="5"/>
  <c r="AO24" i="5"/>
  <c r="AN24" i="5"/>
  <c r="AJ24" i="5"/>
  <c r="AI24" i="5"/>
  <c r="AH24" i="5"/>
  <c r="AG24" i="5"/>
  <c r="AP23" i="5"/>
  <c r="AO23" i="5"/>
  <c r="AN23" i="5"/>
  <c r="AJ23" i="5"/>
  <c r="AI23" i="5"/>
  <c r="AH23" i="5"/>
  <c r="AG23" i="5"/>
  <c r="AP22" i="5"/>
  <c r="AO22" i="5"/>
  <c r="AN22" i="5"/>
  <c r="AJ22" i="5"/>
  <c r="AI22" i="5"/>
  <c r="AH22" i="5"/>
  <c r="AG22" i="5"/>
  <c r="AP21" i="5"/>
  <c r="AO21" i="5"/>
  <c r="AN21" i="5"/>
  <c r="AJ21" i="5"/>
  <c r="AI21" i="5"/>
  <c r="AH21" i="5"/>
  <c r="AG21" i="5"/>
  <c r="AP20" i="5"/>
  <c r="AO20" i="5"/>
  <c r="AN20" i="5"/>
  <c r="AM20" i="5"/>
  <c r="AL20" i="5"/>
  <c r="AK20" i="5"/>
  <c r="AJ20" i="5"/>
  <c r="AI20" i="5"/>
  <c r="AH20" i="5"/>
  <c r="AG20" i="5"/>
  <c r="AO19" i="5"/>
  <c r="AN19" i="5"/>
  <c r="AJ19" i="5"/>
  <c r="AI19" i="5"/>
  <c r="AH19" i="5"/>
  <c r="AG19" i="5"/>
  <c r="AO18" i="5"/>
  <c r="AN18" i="5"/>
  <c r="AJ18" i="5"/>
  <c r="AI18" i="5"/>
  <c r="AH18" i="5"/>
  <c r="AG18" i="5"/>
  <c r="AP17" i="5"/>
  <c r="AO17" i="5"/>
  <c r="AN17" i="5"/>
  <c r="AM17" i="5"/>
  <c r="AL17" i="5"/>
  <c r="AK17" i="5"/>
  <c r="AJ17" i="5"/>
  <c r="AI17" i="5"/>
  <c r="AH17" i="5"/>
  <c r="AG17" i="5"/>
  <c r="AP16" i="5"/>
  <c r="AO16" i="5"/>
  <c r="AN16" i="5"/>
  <c r="AJ16" i="5"/>
  <c r="AI16" i="5"/>
  <c r="AH16" i="5"/>
  <c r="AG16" i="5"/>
  <c r="AP15" i="5"/>
  <c r="AO15" i="5"/>
  <c r="AN15" i="5"/>
  <c r="AJ15" i="5"/>
  <c r="AI15" i="5"/>
  <c r="AH15" i="5"/>
  <c r="AG15" i="5"/>
  <c r="AP14" i="5"/>
  <c r="AO14" i="5"/>
  <c r="AN14" i="5"/>
  <c r="AM14" i="5"/>
  <c r="AL14" i="5"/>
  <c r="AK14" i="5"/>
  <c r="AJ14" i="5"/>
  <c r="AI14" i="5"/>
  <c r="AH14" i="5"/>
  <c r="AG14" i="5"/>
  <c r="AP13" i="5"/>
  <c r="AO13" i="5"/>
  <c r="AN13" i="5"/>
  <c r="AJ13" i="5"/>
  <c r="AI13" i="5"/>
  <c r="AH13" i="5"/>
  <c r="AG13" i="5"/>
  <c r="AO12" i="5"/>
  <c r="AN12" i="5"/>
  <c r="AJ12" i="5"/>
  <c r="AI12" i="5"/>
  <c r="AH12" i="5"/>
  <c r="AG12" i="5"/>
  <c r="AO11" i="5"/>
  <c r="AN11" i="5"/>
  <c r="AJ11" i="5"/>
  <c r="AI11" i="5"/>
  <c r="AH11" i="5"/>
  <c r="AG11" i="5"/>
  <c r="AO10" i="5"/>
  <c r="AN10" i="5"/>
  <c r="AJ10" i="5"/>
  <c r="AI10" i="5"/>
  <c r="AH10" i="5"/>
  <c r="AG10" i="5"/>
  <c r="AP9" i="5"/>
  <c r="AO9" i="5"/>
  <c r="AN9" i="5"/>
  <c r="AJ9" i="5"/>
  <c r="AI9" i="5"/>
  <c r="AH9" i="5"/>
  <c r="AG9" i="5"/>
  <c r="AP8" i="5"/>
  <c r="AO8" i="5"/>
  <c r="AN8" i="5"/>
  <c r="AJ8" i="5"/>
  <c r="AI8" i="5"/>
  <c r="AH8" i="5"/>
  <c r="AG8" i="5"/>
  <c r="AP7" i="5"/>
  <c r="AO7" i="5"/>
  <c r="AN7" i="5"/>
  <c r="AJ7" i="5"/>
  <c r="AI7" i="5"/>
  <c r="AH7" i="5"/>
  <c r="AG7" i="5"/>
  <c r="D2" i="5"/>
  <c r="B6" i="5" s="1"/>
  <c r="B5" i="5" s="1"/>
  <c r="AO41" i="4"/>
  <c r="AN41" i="4"/>
  <c r="AJ41" i="4"/>
  <c r="AI41" i="4"/>
  <c r="AH41" i="4"/>
  <c r="AG41" i="4"/>
  <c r="AP40" i="4"/>
  <c r="AO40" i="4"/>
  <c r="AN40" i="4"/>
  <c r="AJ40" i="4"/>
  <c r="AI40" i="4"/>
  <c r="AH40" i="4"/>
  <c r="AG40" i="4"/>
  <c r="AP39" i="4"/>
  <c r="AO39" i="4"/>
  <c r="AN39" i="4"/>
  <c r="AJ39" i="4"/>
  <c r="AI39" i="4"/>
  <c r="AH39" i="4"/>
  <c r="AG39" i="4"/>
  <c r="AP38" i="4"/>
  <c r="AO38" i="4"/>
  <c r="AN38" i="4"/>
  <c r="AJ38" i="4"/>
  <c r="AI38" i="4"/>
  <c r="AH38" i="4"/>
  <c r="AG38" i="4"/>
  <c r="AO37" i="4"/>
  <c r="AN37" i="4"/>
  <c r="AJ37" i="4"/>
  <c r="AI37" i="4"/>
  <c r="AH37" i="4"/>
  <c r="AG37" i="4"/>
  <c r="AP36" i="4"/>
  <c r="AO36" i="4"/>
  <c r="AN36" i="4"/>
  <c r="AJ36" i="4"/>
  <c r="AI36" i="4"/>
  <c r="AH36" i="4"/>
  <c r="AG36" i="4"/>
  <c r="AP35" i="4"/>
  <c r="AO35" i="4"/>
  <c r="AN35" i="4"/>
  <c r="AM35" i="4"/>
  <c r="AL35" i="4"/>
  <c r="AK35" i="4"/>
  <c r="AJ35" i="4"/>
  <c r="AI35" i="4"/>
  <c r="AH35" i="4"/>
  <c r="AG35" i="4"/>
  <c r="AP34" i="4"/>
  <c r="AO34" i="4"/>
  <c r="AN34" i="4"/>
  <c r="AM34" i="4"/>
  <c r="AL34" i="4"/>
  <c r="AK34" i="4"/>
  <c r="AJ34" i="4"/>
  <c r="AI34" i="4"/>
  <c r="AH34" i="4"/>
  <c r="AG34" i="4"/>
  <c r="AP33" i="4"/>
  <c r="AO33" i="4"/>
  <c r="AN33" i="4"/>
  <c r="AJ33" i="4"/>
  <c r="AI33" i="4"/>
  <c r="AH33" i="4"/>
  <c r="AG33" i="4"/>
  <c r="AO32" i="4"/>
  <c r="AN32" i="4"/>
  <c r="AJ32" i="4"/>
  <c r="AI32" i="4"/>
  <c r="AH32" i="4"/>
  <c r="AG32" i="4"/>
  <c r="AO31" i="4"/>
  <c r="AN31" i="4"/>
  <c r="AJ31" i="4"/>
  <c r="AI31" i="4"/>
  <c r="AH31" i="4"/>
  <c r="AG31" i="4"/>
  <c r="AP30" i="4"/>
  <c r="AO30" i="4"/>
  <c r="AN30" i="4"/>
  <c r="AM30" i="4"/>
  <c r="AL30" i="4"/>
  <c r="AK30" i="4"/>
  <c r="AJ30" i="4"/>
  <c r="AI30" i="4"/>
  <c r="AH30" i="4"/>
  <c r="AG30" i="4"/>
  <c r="AP29" i="4"/>
  <c r="AO29" i="4"/>
  <c r="AN29" i="4"/>
  <c r="AJ29" i="4"/>
  <c r="AI29" i="4"/>
  <c r="AH29" i="4"/>
  <c r="AG29" i="4"/>
  <c r="AP28" i="4"/>
  <c r="AO28" i="4"/>
  <c r="AN28" i="4"/>
  <c r="AJ28" i="4"/>
  <c r="AI28" i="4"/>
  <c r="AH28" i="4"/>
  <c r="AG28" i="4"/>
  <c r="AO27" i="4"/>
  <c r="AN27" i="4"/>
  <c r="AJ27" i="4"/>
  <c r="AI27" i="4"/>
  <c r="AH27" i="4"/>
  <c r="AG27" i="4"/>
  <c r="AO26" i="4"/>
  <c r="AN26" i="4"/>
  <c r="AJ26" i="4"/>
  <c r="AI26" i="4"/>
  <c r="AH26" i="4"/>
  <c r="AG26" i="4"/>
  <c r="AO25" i="4"/>
  <c r="AN25" i="4"/>
  <c r="AJ25" i="4"/>
  <c r="AI25" i="4"/>
  <c r="AH25" i="4"/>
  <c r="AG25" i="4"/>
  <c r="AP24" i="4"/>
  <c r="AO24" i="4"/>
  <c r="AN24" i="4"/>
  <c r="AJ24" i="4"/>
  <c r="AI24" i="4"/>
  <c r="AH24" i="4"/>
  <c r="AG24" i="4"/>
  <c r="AO23" i="4"/>
  <c r="AN23" i="4"/>
  <c r="AJ23" i="4"/>
  <c r="AI23" i="4"/>
  <c r="AH23" i="4"/>
  <c r="AG23" i="4"/>
  <c r="AO22" i="4"/>
  <c r="AN22" i="4"/>
  <c r="AJ22" i="4"/>
  <c r="AI22" i="4"/>
  <c r="AH22" i="4"/>
  <c r="AG22" i="4"/>
  <c r="AP21" i="4"/>
  <c r="AO21" i="4"/>
  <c r="AN21" i="4"/>
  <c r="AM21" i="4"/>
  <c r="AL21" i="4"/>
  <c r="AK21" i="4"/>
  <c r="AJ21" i="4"/>
  <c r="AI21" i="4"/>
  <c r="AH21" i="4"/>
  <c r="AG21" i="4"/>
  <c r="AP20" i="4"/>
  <c r="AO20" i="4"/>
  <c r="AN20" i="4"/>
  <c r="AJ20" i="4"/>
  <c r="AI20" i="4"/>
  <c r="AH20" i="4"/>
  <c r="AG20" i="4"/>
  <c r="AO19" i="4"/>
  <c r="AN19" i="4"/>
  <c r="AJ19" i="4"/>
  <c r="AI19" i="4"/>
  <c r="AH19" i="4"/>
  <c r="AG19" i="4"/>
  <c r="AO18" i="4"/>
  <c r="AN18" i="4"/>
  <c r="AJ18" i="4"/>
  <c r="AI18" i="4"/>
  <c r="AH18" i="4"/>
  <c r="AG18" i="4"/>
  <c r="AP17" i="4"/>
  <c r="AO17" i="4"/>
  <c r="AN17" i="4"/>
  <c r="AM17" i="4"/>
  <c r="AL17" i="4"/>
  <c r="AK17" i="4"/>
  <c r="AJ17" i="4"/>
  <c r="AI17" i="4"/>
  <c r="AH17" i="4"/>
  <c r="AG17" i="4"/>
  <c r="AO16" i="4"/>
  <c r="AN16" i="4"/>
  <c r="AJ16" i="4"/>
  <c r="AI16" i="4"/>
  <c r="AH16" i="4"/>
  <c r="AG16" i="4"/>
  <c r="AO15" i="4"/>
  <c r="AN15" i="4"/>
  <c r="AJ15" i="4"/>
  <c r="AI15" i="4"/>
  <c r="AH15" i="4"/>
  <c r="AG15" i="4"/>
  <c r="AP14" i="4"/>
  <c r="AO14" i="4"/>
  <c r="AN14" i="4"/>
  <c r="AM14" i="4"/>
  <c r="AL14" i="4"/>
  <c r="AK14" i="4"/>
  <c r="AJ14" i="4"/>
  <c r="AI14" i="4"/>
  <c r="AH14" i="4"/>
  <c r="AG14" i="4"/>
  <c r="AO13" i="4"/>
  <c r="AN13" i="4"/>
  <c r="AJ13" i="4"/>
  <c r="AI13" i="4"/>
  <c r="AH13" i="4"/>
  <c r="AG13" i="4"/>
  <c r="AO12" i="4"/>
  <c r="AN12" i="4"/>
  <c r="AJ12" i="4"/>
  <c r="AI12" i="4"/>
  <c r="AH12" i="4"/>
  <c r="AG12" i="4"/>
  <c r="AP11" i="4"/>
  <c r="AO11" i="4"/>
  <c r="AN11" i="4"/>
  <c r="AJ11" i="4"/>
  <c r="AI11" i="4"/>
  <c r="AH11" i="4"/>
  <c r="AG11" i="4"/>
  <c r="AP10" i="4"/>
  <c r="AO10" i="4"/>
  <c r="AN10" i="4"/>
  <c r="AJ10" i="4"/>
  <c r="AI10" i="4"/>
  <c r="AH10" i="4"/>
  <c r="AG10" i="4"/>
  <c r="AP9" i="4"/>
  <c r="AO9" i="4"/>
  <c r="AN9" i="4"/>
  <c r="AJ9" i="4"/>
  <c r="AI9" i="4"/>
  <c r="AH9" i="4"/>
  <c r="AG9" i="4"/>
  <c r="AP8" i="4"/>
  <c r="AO8" i="4"/>
  <c r="AN8" i="4"/>
  <c r="AJ8" i="4"/>
  <c r="AI8" i="4"/>
  <c r="AH8" i="4"/>
  <c r="AG8" i="4"/>
  <c r="AP7" i="4"/>
  <c r="AO7" i="4"/>
  <c r="AN7" i="4"/>
  <c r="AJ7" i="4"/>
  <c r="AI7" i="4"/>
  <c r="AH7" i="4"/>
  <c r="AG7" i="4"/>
  <c r="D2" i="4"/>
  <c r="B6" i="4" s="1"/>
  <c r="AO42" i="3"/>
  <c r="AN42" i="3"/>
  <c r="AJ42" i="3"/>
  <c r="AI42" i="3"/>
  <c r="AH42" i="3"/>
  <c r="AG42" i="3"/>
  <c r="AP41" i="3"/>
  <c r="AO41" i="3"/>
  <c r="AN41" i="3"/>
  <c r="AJ41" i="3"/>
  <c r="AI41" i="3"/>
  <c r="AH41" i="3"/>
  <c r="AG41" i="3"/>
  <c r="AO40" i="3"/>
  <c r="AN40" i="3"/>
  <c r="AJ40" i="3"/>
  <c r="AI40" i="3"/>
  <c r="AH40" i="3"/>
  <c r="AG40" i="3"/>
  <c r="AP39" i="3"/>
  <c r="AO39" i="3"/>
  <c r="AN39" i="3"/>
  <c r="AJ39" i="3"/>
  <c r="AI39" i="3"/>
  <c r="AH39" i="3"/>
  <c r="AG39" i="3"/>
  <c r="AO38" i="3"/>
  <c r="AN38" i="3"/>
  <c r="AJ38" i="3"/>
  <c r="AI38" i="3"/>
  <c r="AH38" i="3"/>
  <c r="AG38" i="3"/>
  <c r="AO37" i="3"/>
  <c r="AN37" i="3"/>
  <c r="AJ37" i="3"/>
  <c r="AI37" i="3"/>
  <c r="AH37" i="3"/>
  <c r="AG37" i="3"/>
  <c r="AP36" i="3"/>
  <c r="AO36" i="3"/>
  <c r="AN36" i="3"/>
  <c r="AM36" i="3"/>
  <c r="AL36" i="3"/>
  <c r="AK36" i="3"/>
  <c r="AJ36" i="3"/>
  <c r="AI36" i="3"/>
  <c r="AH36" i="3"/>
  <c r="AG36" i="3"/>
  <c r="AP35" i="3"/>
  <c r="AO35" i="3"/>
  <c r="AN35" i="3"/>
  <c r="AM35" i="3"/>
  <c r="AL35" i="3"/>
  <c r="AK35" i="3"/>
  <c r="AJ35" i="3"/>
  <c r="AI35" i="3"/>
  <c r="AH35" i="3"/>
  <c r="AG35" i="3"/>
  <c r="AO34" i="3"/>
  <c r="AN34" i="3"/>
  <c r="AJ34" i="3"/>
  <c r="AI34" i="3"/>
  <c r="AH34" i="3"/>
  <c r="AG34" i="3"/>
  <c r="AO33" i="3"/>
  <c r="AN33" i="3"/>
  <c r="AJ33" i="3"/>
  <c r="AI33" i="3"/>
  <c r="AH33" i="3"/>
  <c r="AG33" i="3"/>
  <c r="AP32" i="3"/>
  <c r="AO32" i="3"/>
  <c r="AN32" i="3"/>
  <c r="AJ32" i="3"/>
  <c r="AI32" i="3"/>
  <c r="AH32" i="3"/>
  <c r="AG32" i="3"/>
  <c r="AP31" i="3"/>
  <c r="AO31" i="3"/>
  <c r="AN31" i="3"/>
  <c r="AM31" i="3"/>
  <c r="AL31" i="3"/>
  <c r="AK31" i="3"/>
  <c r="AJ31" i="3"/>
  <c r="AI31" i="3"/>
  <c r="AH31" i="3"/>
  <c r="AG31" i="3"/>
  <c r="AO30" i="3"/>
  <c r="AN30" i="3"/>
  <c r="AJ30" i="3"/>
  <c r="AI30" i="3"/>
  <c r="AH30" i="3"/>
  <c r="AG30" i="3"/>
  <c r="AP29" i="3"/>
  <c r="AO29" i="3"/>
  <c r="AN29" i="3"/>
  <c r="AM29" i="3"/>
  <c r="AL29" i="3"/>
  <c r="AK29" i="3"/>
  <c r="AJ29" i="3"/>
  <c r="AI29" i="3"/>
  <c r="AH29" i="3"/>
  <c r="AG29" i="3"/>
  <c r="AP28" i="3"/>
  <c r="AO28" i="3"/>
  <c r="AN28" i="3"/>
  <c r="AJ28" i="3"/>
  <c r="AI28" i="3"/>
  <c r="AH28" i="3"/>
  <c r="AG28" i="3"/>
  <c r="AO27" i="3"/>
  <c r="AN27" i="3"/>
  <c r="AJ27" i="3"/>
  <c r="AI27" i="3"/>
  <c r="AH27" i="3"/>
  <c r="AG27" i="3"/>
  <c r="AO26" i="3"/>
  <c r="AN26" i="3"/>
  <c r="AJ26" i="3"/>
  <c r="AI26" i="3"/>
  <c r="AH26" i="3"/>
  <c r="AG26" i="3"/>
  <c r="AO25" i="3"/>
  <c r="AN25" i="3"/>
  <c r="AJ25" i="3"/>
  <c r="AI25" i="3"/>
  <c r="AH25" i="3"/>
  <c r="AG25" i="3"/>
  <c r="AO24" i="3"/>
  <c r="AN24" i="3"/>
  <c r="AJ24" i="3"/>
  <c r="AI24" i="3"/>
  <c r="AH24" i="3"/>
  <c r="AG24" i="3"/>
  <c r="AO23" i="3"/>
  <c r="AN23" i="3"/>
  <c r="AJ23" i="3"/>
  <c r="AI23" i="3"/>
  <c r="AH23" i="3"/>
  <c r="AG23" i="3"/>
  <c r="AO22" i="3"/>
  <c r="AN22" i="3"/>
  <c r="AJ22" i="3"/>
  <c r="AI22" i="3"/>
  <c r="AH22" i="3"/>
  <c r="AG22" i="3"/>
  <c r="AP21" i="3"/>
  <c r="AO21" i="3"/>
  <c r="AN21" i="3"/>
  <c r="AM21" i="3"/>
  <c r="AL21" i="3"/>
  <c r="AK21" i="3"/>
  <c r="AJ21" i="3"/>
  <c r="AI21" i="3"/>
  <c r="AH21" i="3"/>
  <c r="AG21" i="3"/>
  <c r="AP20" i="3"/>
  <c r="AO20" i="3"/>
  <c r="AN20" i="3"/>
  <c r="AM20" i="3"/>
  <c r="AL20" i="3"/>
  <c r="AK20" i="3"/>
  <c r="AJ20" i="3"/>
  <c r="AI20" i="3"/>
  <c r="AH20" i="3"/>
  <c r="AG20" i="3"/>
  <c r="AO19" i="3"/>
  <c r="AN19" i="3"/>
  <c r="AJ19" i="3"/>
  <c r="AI19" i="3"/>
  <c r="AH19" i="3"/>
  <c r="AG19" i="3"/>
  <c r="AO18" i="3"/>
  <c r="AN18" i="3"/>
  <c r="AJ18" i="3"/>
  <c r="AI18" i="3"/>
  <c r="AH18" i="3"/>
  <c r="AG18" i="3"/>
  <c r="AP17" i="3"/>
  <c r="AO17" i="3"/>
  <c r="AN17" i="3"/>
  <c r="AM17" i="3"/>
  <c r="AL17" i="3"/>
  <c r="AK17" i="3"/>
  <c r="AJ17" i="3"/>
  <c r="AI17" i="3"/>
  <c r="AH17" i="3"/>
  <c r="AG17" i="3"/>
  <c r="AO16" i="3"/>
  <c r="AN16" i="3"/>
  <c r="AJ16" i="3"/>
  <c r="AI16" i="3"/>
  <c r="AH16" i="3"/>
  <c r="AG16" i="3"/>
  <c r="AO15" i="3"/>
  <c r="AN15" i="3"/>
  <c r="AJ15" i="3"/>
  <c r="AI15" i="3"/>
  <c r="AH15" i="3"/>
  <c r="AG15" i="3"/>
  <c r="AP14" i="3"/>
  <c r="AO14" i="3"/>
  <c r="AN14" i="3"/>
  <c r="AM14" i="3"/>
  <c r="AL14" i="3"/>
  <c r="AK14" i="3"/>
  <c r="AJ14" i="3"/>
  <c r="AI14" i="3"/>
  <c r="AH14" i="3"/>
  <c r="AG14" i="3"/>
  <c r="AP13" i="3"/>
  <c r="AO13" i="3"/>
  <c r="AN13" i="3"/>
  <c r="AJ13" i="3"/>
  <c r="AI13" i="3"/>
  <c r="AH13" i="3"/>
  <c r="AG13" i="3"/>
  <c r="AO12" i="3"/>
  <c r="AN12" i="3"/>
  <c r="AJ12" i="3"/>
  <c r="AI12" i="3"/>
  <c r="AH12" i="3"/>
  <c r="AG12" i="3"/>
  <c r="AO11" i="3"/>
  <c r="AN11" i="3"/>
  <c r="AJ11" i="3"/>
  <c r="AI11" i="3"/>
  <c r="AH11" i="3"/>
  <c r="AG11" i="3"/>
  <c r="AO10" i="3"/>
  <c r="AN10" i="3"/>
  <c r="AJ10" i="3"/>
  <c r="AI10" i="3"/>
  <c r="AH10" i="3"/>
  <c r="AG10" i="3"/>
  <c r="AP9" i="3"/>
  <c r="AO9" i="3"/>
  <c r="AN9" i="3"/>
  <c r="AJ9" i="3"/>
  <c r="AI9" i="3"/>
  <c r="AH9" i="3"/>
  <c r="AG9" i="3"/>
  <c r="AP8" i="3"/>
  <c r="AO8" i="3"/>
  <c r="AN8" i="3"/>
  <c r="AJ8" i="3"/>
  <c r="AI8" i="3"/>
  <c r="AH8" i="3"/>
  <c r="AG8" i="3"/>
  <c r="AP7" i="3"/>
  <c r="AO7" i="3"/>
  <c r="AN7" i="3"/>
  <c r="AJ7" i="3"/>
  <c r="AI7" i="3"/>
  <c r="AH7" i="3"/>
  <c r="AG7" i="3"/>
  <c r="D6" i="3"/>
  <c r="D4" i="3" s="1"/>
  <c r="C6" i="3"/>
  <c r="H2" i="3"/>
  <c r="D2" i="3"/>
  <c r="B6" i="3" s="1"/>
  <c r="B4" i="3" s="1"/>
  <c r="AO42" i="2"/>
  <c r="AN42" i="2"/>
  <c r="AJ42" i="2"/>
  <c r="AI42" i="2"/>
  <c r="AH42" i="2"/>
  <c r="AG42" i="2"/>
  <c r="AP41" i="2"/>
  <c r="AO41" i="2"/>
  <c r="AN41" i="2"/>
  <c r="AJ41" i="2"/>
  <c r="AI41" i="2"/>
  <c r="AH41" i="2"/>
  <c r="AG41" i="2"/>
  <c r="AP40" i="2"/>
  <c r="AO40" i="2"/>
  <c r="AN40" i="2"/>
  <c r="AJ40" i="2"/>
  <c r="AI40" i="2"/>
  <c r="AH40" i="2"/>
  <c r="AG40" i="2"/>
  <c r="AO39" i="2"/>
  <c r="AN39" i="2"/>
  <c r="AJ39" i="2"/>
  <c r="AI39" i="2"/>
  <c r="AH39" i="2"/>
  <c r="AG39" i="2"/>
  <c r="AO38" i="2"/>
  <c r="AN38" i="2"/>
  <c r="AJ38" i="2"/>
  <c r="AI38" i="2"/>
  <c r="AH38" i="2"/>
  <c r="AG38" i="2"/>
  <c r="AO37" i="2"/>
  <c r="AN37" i="2"/>
  <c r="AJ37" i="2"/>
  <c r="AI37" i="2"/>
  <c r="AH37" i="2"/>
  <c r="AG37" i="2"/>
  <c r="AP36" i="2"/>
  <c r="AO36" i="2"/>
  <c r="AN36" i="2"/>
  <c r="AM36" i="2"/>
  <c r="AL36" i="2"/>
  <c r="AK36" i="2"/>
  <c r="AJ36" i="2"/>
  <c r="AI36" i="2"/>
  <c r="AH36" i="2"/>
  <c r="AG36" i="2"/>
  <c r="AP35" i="2"/>
  <c r="AO35" i="2"/>
  <c r="AN35" i="2"/>
  <c r="AM35" i="2"/>
  <c r="AL35" i="2"/>
  <c r="AK35" i="2"/>
  <c r="AJ35" i="2"/>
  <c r="AI35" i="2"/>
  <c r="AH35" i="2"/>
  <c r="AG35" i="2"/>
  <c r="AP34" i="2"/>
  <c r="AO34" i="2"/>
  <c r="AN34" i="2"/>
  <c r="AJ34" i="2"/>
  <c r="AI34" i="2"/>
  <c r="AH34" i="2"/>
  <c r="AG34" i="2"/>
  <c r="AP33" i="2"/>
  <c r="AO33" i="2"/>
  <c r="AN33" i="2"/>
  <c r="AJ33" i="2"/>
  <c r="AI33" i="2"/>
  <c r="AH33" i="2"/>
  <c r="AG33" i="2"/>
  <c r="AO32" i="2"/>
  <c r="AN32" i="2"/>
  <c r="AJ32" i="2"/>
  <c r="AI32" i="2"/>
  <c r="AH32" i="2"/>
  <c r="AG32" i="2"/>
  <c r="AP31" i="2"/>
  <c r="AO31" i="2"/>
  <c r="AN31" i="2"/>
  <c r="AM31" i="2"/>
  <c r="AL31" i="2"/>
  <c r="AK31" i="2"/>
  <c r="AJ31" i="2"/>
  <c r="AI31" i="2"/>
  <c r="AH31" i="2"/>
  <c r="AG31" i="2"/>
  <c r="AO30" i="2"/>
  <c r="AN30" i="2"/>
  <c r="AJ30" i="2"/>
  <c r="AI30" i="2"/>
  <c r="AH30" i="2"/>
  <c r="AG30" i="2"/>
  <c r="AP29" i="2"/>
  <c r="AO29" i="2"/>
  <c r="AN29" i="2"/>
  <c r="AM29" i="2"/>
  <c r="AL29" i="2"/>
  <c r="AK29" i="2"/>
  <c r="AJ29" i="2"/>
  <c r="AI29" i="2"/>
  <c r="AH29" i="2"/>
  <c r="AG29" i="2"/>
  <c r="AO28" i="2"/>
  <c r="AN28" i="2"/>
  <c r="AJ28" i="2"/>
  <c r="AI28" i="2"/>
  <c r="AH28" i="2"/>
  <c r="AG28" i="2"/>
  <c r="AO27" i="2"/>
  <c r="AN27" i="2"/>
  <c r="AJ27" i="2"/>
  <c r="AI27" i="2"/>
  <c r="AH27" i="2"/>
  <c r="AG27" i="2"/>
  <c r="AO26" i="2"/>
  <c r="AN26" i="2"/>
  <c r="AJ26" i="2"/>
  <c r="AI26" i="2"/>
  <c r="AH26" i="2"/>
  <c r="AG26" i="2"/>
  <c r="AP25" i="2"/>
  <c r="AO25" i="2"/>
  <c r="AN25" i="2"/>
  <c r="AJ25" i="2"/>
  <c r="AI25" i="2"/>
  <c r="AH25" i="2"/>
  <c r="AG25" i="2"/>
  <c r="AO24" i="2"/>
  <c r="AN24" i="2"/>
  <c r="AJ24" i="2"/>
  <c r="AI24" i="2"/>
  <c r="AH24" i="2"/>
  <c r="AG24" i="2"/>
  <c r="AO23" i="2"/>
  <c r="AN23" i="2"/>
  <c r="AJ23" i="2"/>
  <c r="AI23" i="2"/>
  <c r="AH23" i="2"/>
  <c r="AG23" i="2"/>
  <c r="AP22" i="2"/>
  <c r="AO22" i="2"/>
  <c r="AN22" i="2"/>
  <c r="AJ22" i="2"/>
  <c r="AI22" i="2"/>
  <c r="AH22" i="2"/>
  <c r="AG22" i="2"/>
  <c r="AP21" i="2"/>
  <c r="AO21" i="2"/>
  <c r="AN21" i="2"/>
  <c r="AM21" i="2"/>
  <c r="AL21" i="2"/>
  <c r="AK21" i="2"/>
  <c r="AJ21" i="2"/>
  <c r="AI21" i="2"/>
  <c r="AH21" i="2"/>
  <c r="AG21" i="2"/>
  <c r="AP20" i="2"/>
  <c r="AO20" i="2"/>
  <c r="AN20" i="2"/>
  <c r="AM20" i="2"/>
  <c r="AL20" i="2"/>
  <c r="AK20" i="2"/>
  <c r="AJ20" i="2"/>
  <c r="AI20" i="2"/>
  <c r="AH20" i="2"/>
  <c r="AG20" i="2"/>
  <c r="AP19" i="2"/>
  <c r="AO19" i="2"/>
  <c r="AN19" i="2"/>
  <c r="AJ19" i="2"/>
  <c r="AI19" i="2"/>
  <c r="AH19" i="2"/>
  <c r="AG19" i="2"/>
  <c r="AO18" i="2"/>
  <c r="AN18" i="2"/>
  <c r="AJ18" i="2"/>
  <c r="AI18" i="2"/>
  <c r="AH18" i="2"/>
  <c r="AG18" i="2"/>
  <c r="AP17" i="2"/>
  <c r="AO17" i="2"/>
  <c r="AN17" i="2"/>
  <c r="AM17" i="2"/>
  <c r="AL17" i="2"/>
  <c r="AK17" i="2"/>
  <c r="AJ17" i="2"/>
  <c r="AI17" i="2"/>
  <c r="AH17" i="2"/>
  <c r="AG17" i="2"/>
  <c r="AO16" i="2"/>
  <c r="AN16" i="2"/>
  <c r="AJ16" i="2"/>
  <c r="AI16" i="2"/>
  <c r="AH16" i="2"/>
  <c r="AG16" i="2"/>
  <c r="AP15" i="2"/>
  <c r="AO15" i="2"/>
  <c r="AN15" i="2"/>
  <c r="AJ15" i="2"/>
  <c r="AI15" i="2"/>
  <c r="AH15" i="2"/>
  <c r="AG15" i="2"/>
  <c r="AP14" i="2"/>
  <c r="AO14" i="2"/>
  <c r="AN14" i="2"/>
  <c r="AM14" i="2"/>
  <c r="AL14" i="2"/>
  <c r="AK14" i="2"/>
  <c r="AJ14" i="2"/>
  <c r="AI14" i="2"/>
  <c r="AH14" i="2"/>
  <c r="AG14" i="2"/>
  <c r="AO13" i="2"/>
  <c r="AN13" i="2"/>
  <c r="AJ13" i="2"/>
  <c r="AI13" i="2"/>
  <c r="AH13" i="2"/>
  <c r="AG13" i="2"/>
  <c r="AP12" i="2"/>
  <c r="AO12" i="2"/>
  <c r="AN12" i="2"/>
  <c r="AJ12" i="2"/>
  <c r="AI12" i="2"/>
  <c r="AH12" i="2"/>
  <c r="AG12" i="2"/>
  <c r="AP11" i="2"/>
  <c r="AO11" i="2"/>
  <c r="AN11" i="2"/>
  <c r="AJ11" i="2"/>
  <c r="AI11" i="2"/>
  <c r="AH11" i="2"/>
  <c r="AG11" i="2"/>
  <c r="AP10" i="2"/>
  <c r="AO10" i="2"/>
  <c r="AN10" i="2"/>
  <c r="AJ10" i="2"/>
  <c r="AI10" i="2"/>
  <c r="AH10" i="2"/>
  <c r="AG10" i="2"/>
  <c r="AP9" i="2"/>
  <c r="AO9" i="2"/>
  <c r="AN9" i="2"/>
  <c r="AJ9" i="2"/>
  <c r="AI9" i="2"/>
  <c r="AH9" i="2"/>
  <c r="AG9" i="2"/>
  <c r="AP8" i="2"/>
  <c r="AO8" i="2"/>
  <c r="AN8" i="2"/>
  <c r="AJ8" i="2"/>
  <c r="AI8" i="2"/>
  <c r="AH8" i="2"/>
  <c r="AG8" i="2"/>
  <c r="AP7" i="2"/>
  <c r="AO7" i="2"/>
  <c r="AN7" i="2"/>
  <c r="AJ7" i="2"/>
  <c r="AI7" i="2"/>
  <c r="AH7" i="2"/>
  <c r="AG7" i="2"/>
  <c r="B6" i="2"/>
  <c r="D2" i="2"/>
  <c r="H2" i="2" s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H2" i="5" l="1"/>
  <c r="C6" i="5" s="1"/>
  <c r="C6" i="4"/>
  <c r="C4" i="4" s="1"/>
  <c r="H2" i="4"/>
  <c r="C5" i="3"/>
  <c r="C4" i="3"/>
  <c r="E6" i="3"/>
  <c r="B5" i="2"/>
  <c r="B4" i="2"/>
  <c r="D5" i="3"/>
  <c r="C6" i="2"/>
  <c r="B5" i="4"/>
  <c r="B4" i="4"/>
  <c r="B4" i="5"/>
  <c r="B5" i="3"/>
  <c r="D6" i="4" l="1"/>
  <c r="C5" i="4"/>
  <c r="AP26" i="4"/>
  <c r="F6" i="3"/>
  <c r="E4" i="3"/>
  <c r="E5" i="3"/>
  <c r="D6" i="5"/>
  <c r="C4" i="5"/>
  <c r="C5" i="5"/>
  <c r="D5" i="4"/>
  <c r="D4" i="4"/>
  <c r="AP25" i="4" s="1"/>
  <c r="E6" i="4"/>
  <c r="D6" i="2"/>
  <c r="C5" i="2"/>
  <c r="C4" i="2"/>
  <c r="E6" i="5" l="1"/>
  <c r="D5" i="5"/>
  <c r="D4" i="5"/>
  <c r="AP38" i="2"/>
  <c r="E6" i="2"/>
  <c r="D5" i="2"/>
  <c r="D4" i="2"/>
  <c r="F5" i="3"/>
  <c r="F4" i="3"/>
  <c r="G6" i="3"/>
  <c r="E5" i="4"/>
  <c r="E4" i="4"/>
  <c r="F6" i="4"/>
  <c r="F6" i="5" l="1"/>
  <c r="E4" i="5"/>
  <c r="E5" i="5"/>
  <c r="H6" i="3"/>
  <c r="G4" i="3"/>
  <c r="G5" i="3"/>
  <c r="F5" i="4"/>
  <c r="F4" i="4"/>
  <c r="G6" i="4"/>
  <c r="AP27" i="4"/>
  <c r="AP12" i="4"/>
  <c r="F6" i="2"/>
  <c r="E5" i="2"/>
  <c r="E4" i="2"/>
  <c r="H5" i="3" l="1"/>
  <c r="I6" i="3"/>
  <c r="H4" i="3"/>
  <c r="F4" i="5"/>
  <c r="F5" i="5"/>
  <c r="G6" i="5"/>
  <c r="AP18" i="5"/>
  <c r="AP16" i="3"/>
  <c r="F5" i="2"/>
  <c r="F4" i="2"/>
  <c r="G6" i="2"/>
  <c r="H6" i="4"/>
  <c r="G4" i="4"/>
  <c r="G5" i="4"/>
  <c r="H6" i="2" l="1"/>
  <c r="G5" i="2"/>
  <c r="G4" i="2"/>
  <c r="J6" i="3"/>
  <c r="I4" i="3"/>
  <c r="I5" i="3"/>
  <c r="G5" i="5"/>
  <c r="G4" i="5"/>
  <c r="H6" i="5"/>
  <c r="H4" i="4"/>
  <c r="I6" i="4"/>
  <c r="H5" i="4"/>
  <c r="K6" i="3" l="1"/>
  <c r="J5" i="3"/>
  <c r="J4" i="3"/>
  <c r="H5" i="2"/>
  <c r="H4" i="2"/>
  <c r="AP39" i="2" s="1"/>
  <c r="I6" i="2"/>
  <c r="AP26" i="2"/>
  <c r="AP23" i="2"/>
  <c r="AP24" i="2"/>
  <c r="AP27" i="2"/>
  <c r="I4" i="4"/>
  <c r="J6" i="4"/>
  <c r="I5" i="4"/>
  <c r="H5" i="5"/>
  <c r="H4" i="5"/>
  <c r="I6" i="5"/>
  <c r="I4" i="5" l="1"/>
  <c r="I5" i="5"/>
  <c r="J6" i="5"/>
  <c r="K6" i="4"/>
  <c r="J4" i="4"/>
  <c r="J5" i="4"/>
  <c r="I4" i="2"/>
  <c r="I5" i="2"/>
  <c r="J6" i="2"/>
  <c r="K5" i="3"/>
  <c r="K4" i="3"/>
  <c r="L6" i="3"/>
  <c r="AP28" i="2" l="1"/>
  <c r="AP16" i="2"/>
  <c r="J4" i="5"/>
  <c r="J5" i="5"/>
  <c r="K6" i="5"/>
  <c r="AP13" i="2"/>
  <c r="K4" i="4"/>
  <c r="L6" i="4"/>
  <c r="K5" i="4"/>
  <c r="M6" i="3"/>
  <c r="L5" i="3"/>
  <c r="L4" i="3"/>
  <c r="K6" i="2"/>
  <c r="J4" i="2"/>
  <c r="J5" i="2"/>
  <c r="K5" i="5" l="1"/>
  <c r="K4" i="5"/>
  <c r="L6" i="5"/>
  <c r="N6" i="3"/>
  <c r="M5" i="3"/>
  <c r="M4" i="3"/>
  <c r="L6" i="2"/>
  <c r="K5" i="2"/>
  <c r="K4" i="2"/>
  <c r="L4" i="4"/>
  <c r="L5" i="4"/>
  <c r="M6" i="4"/>
  <c r="AP32" i="2"/>
  <c r="M4" i="4" l="1"/>
  <c r="M5" i="4"/>
  <c r="N6" i="4"/>
  <c r="AP42" i="3"/>
  <c r="N5" i="3"/>
  <c r="N4" i="3"/>
  <c r="O6" i="3"/>
  <c r="M6" i="2"/>
  <c r="L5" i="2"/>
  <c r="L4" i="2"/>
  <c r="L5" i="5"/>
  <c r="M6" i="5"/>
  <c r="L4" i="5"/>
  <c r="O5" i="3" l="1"/>
  <c r="O4" i="3"/>
  <c r="P6" i="3"/>
  <c r="AP18" i="3"/>
  <c r="M4" i="2"/>
  <c r="N6" i="2"/>
  <c r="M5" i="2"/>
  <c r="M5" i="5"/>
  <c r="N6" i="5"/>
  <c r="M4" i="5"/>
  <c r="O6" i="4"/>
  <c r="N4" i="4"/>
  <c r="N5" i="4"/>
  <c r="O5" i="4" l="1"/>
  <c r="O4" i="4"/>
  <c r="P6" i="4"/>
  <c r="AP26" i="5"/>
  <c r="AP19" i="5"/>
  <c r="AP33" i="3"/>
  <c r="AP15" i="3"/>
  <c r="AP23" i="3"/>
  <c r="AP22" i="3"/>
  <c r="O6" i="2"/>
  <c r="N4" i="2"/>
  <c r="N5" i="2"/>
  <c r="Q6" i="3"/>
  <c r="P5" i="3"/>
  <c r="N5" i="5"/>
  <c r="N4" i="5"/>
  <c r="O6" i="5"/>
  <c r="O4" i="2" l="1"/>
  <c r="P6" i="2"/>
  <c r="O5" i="2"/>
  <c r="O5" i="5"/>
  <c r="O4" i="5"/>
  <c r="P6" i="5"/>
  <c r="Q5" i="3"/>
  <c r="R6" i="3"/>
  <c r="Q4" i="3"/>
  <c r="Q6" i="4"/>
  <c r="P5" i="4"/>
  <c r="Q6" i="2" l="1"/>
  <c r="P5" i="2"/>
  <c r="S6" i="3"/>
  <c r="R4" i="3"/>
  <c r="R5" i="3"/>
  <c r="Q6" i="5"/>
  <c r="P5" i="5"/>
  <c r="R6" i="4"/>
  <c r="Q5" i="4"/>
  <c r="Q4" i="4"/>
  <c r="R6" i="2" l="1"/>
  <c r="Q5" i="2"/>
  <c r="Q4" i="2"/>
  <c r="S5" i="3"/>
  <c r="S4" i="3"/>
  <c r="AP10" i="3" s="1"/>
  <c r="T6" i="3"/>
  <c r="S6" i="4"/>
  <c r="R4" i="4"/>
  <c r="R5" i="4"/>
  <c r="R6" i="5"/>
  <c r="Q5" i="5"/>
  <c r="Q4" i="5"/>
  <c r="S5" i="4" l="1"/>
  <c r="T6" i="4"/>
  <c r="S4" i="4"/>
  <c r="U6" i="3"/>
  <c r="T4" i="3"/>
  <c r="T5" i="3"/>
  <c r="S6" i="5"/>
  <c r="R5" i="5"/>
  <c r="R4" i="5"/>
  <c r="S6" i="2"/>
  <c r="R5" i="2"/>
  <c r="R4" i="2"/>
  <c r="T5" i="4" l="1"/>
  <c r="U6" i="4"/>
  <c r="T4" i="4"/>
  <c r="T6" i="2"/>
  <c r="S5" i="2"/>
  <c r="S4" i="2"/>
  <c r="V6" i="3"/>
  <c r="U5" i="3"/>
  <c r="U4" i="3"/>
  <c r="S4" i="5"/>
  <c r="T6" i="5"/>
  <c r="S5" i="5"/>
  <c r="U6" i="2" l="1"/>
  <c r="T5" i="2"/>
  <c r="T4" i="2"/>
  <c r="W6" i="3"/>
  <c r="V5" i="3"/>
  <c r="V4" i="3"/>
  <c r="U6" i="5"/>
  <c r="T4" i="5"/>
  <c r="T5" i="5"/>
  <c r="U5" i="4"/>
  <c r="V6" i="4"/>
  <c r="U4" i="4"/>
  <c r="AP19" i="3"/>
  <c r="U4" i="5" l="1"/>
  <c r="V6" i="5"/>
  <c r="U5" i="5"/>
  <c r="U5" i="2"/>
  <c r="V6" i="2"/>
  <c r="U4" i="2"/>
  <c r="V5" i="4"/>
  <c r="W6" i="4"/>
  <c r="V4" i="4"/>
  <c r="W4" i="3"/>
  <c r="X6" i="3"/>
  <c r="W5" i="3"/>
  <c r="Y6" i="3" l="1"/>
  <c r="X5" i="3"/>
  <c r="X4" i="3"/>
  <c r="AP30" i="2"/>
  <c r="AP18" i="2"/>
  <c r="AP42" i="2"/>
  <c r="V4" i="5"/>
  <c r="W6" i="5"/>
  <c r="V5" i="5"/>
  <c r="W4" i="4"/>
  <c r="X6" i="4"/>
  <c r="W5" i="4"/>
  <c r="V5" i="2"/>
  <c r="W6" i="2"/>
  <c r="V4" i="2"/>
  <c r="X5" i="4" l="1"/>
  <c r="Y6" i="4"/>
  <c r="X4" i="4"/>
  <c r="W4" i="5"/>
  <c r="X6" i="5"/>
  <c r="W5" i="5"/>
  <c r="Y4" i="3"/>
  <c r="Z6" i="3"/>
  <c r="Y5" i="3"/>
  <c r="X6" i="2"/>
  <c r="W5" i="2"/>
  <c r="W4" i="2"/>
  <c r="X5" i="5" l="1"/>
  <c r="Y6" i="5"/>
  <c r="X4" i="5"/>
  <c r="AP10" i="5" s="1"/>
  <c r="Y4" i="4"/>
  <c r="Z6" i="4"/>
  <c r="Y5" i="4"/>
  <c r="X5" i="2"/>
  <c r="X4" i="2"/>
  <c r="Y6" i="2"/>
  <c r="Z5" i="3"/>
  <c r="AA6" i="3"/>
  <c r="Z4" i="3"/>
  <c r="AP38" i="5"/>
  <c r="Y5" i="2" l="1"/>
  <c r="Y4" i="2"/>
  <c r="Z6" i="2"/>
  <c r="AP32" i="4"/>
  <c r="Z5" i="4"/>
  <c r="Z4" i="4"/>
  <c r="AA6" i="4"/>
  <c r="AA4" i="3"/>
  <c r="AB6" i="3"/>
  <c r="AA5" i="3"/>
  <c r="Z6" i="5"/>
  <c r="Y4" i="5"/>
  <c r="Y5" i="5"/>
  <c r="AA6" i="5" l="1"/>
  <c r="Z5" i="5"/>
  <c r="Z4" i="5"/>
  <c r="AA5" i="4"/>
  <c r="AB6" i="4"/>
  <c r="AA4" i="4"/>
  <c r="AC6" i="3"/>
  <c r="AB5" i="3"/>
  <c r="Z5" i="2"/>
  <c r="Z4" i="2"/>
  <c r="AA6" i="2"/>
  <c r="AD6" i="3" l="1"/>
  <c r="AC5" i="3"/>
  <c r="AC4" i="3"/>
  <c r="AB5" i="4"/>
  <c r="AC6" i="4"/>
  <c r="AP11" i="5"/>
  <c r="AB6" i="5"/>
  <c r="AA4" i="5"/>
  <c r="AP12" i="5" s="1"/>
  <c r="AA5" i="5"/>
  <c r="AA5" i="2"/>
  <c r="AA4" i="2"/>
  <c r="AB6" i="2"/>
  <c r="AP24" i="5" l="1"/>
  <c r="AB5" i="5"/>
  <c r="AC6" i="5"/>
  <c r="AC4" i="4"/>
  <c r="AP31" i="4" s="1"/>
  <c r="AD6" i="4"/>
  <c r="AC5" i="4"/>
  <c r="AB5" i="2"/>
  <c r="AC6" i="2"/>
  <c r="AP24" i="3"/>
  <c r="AP26" i="3"/>
  <c r="AP25" i="3"/>
  <c r="AP11" i="3"/>
  <c r="AP34" i="3"/>
  <c r="AD5" i="3"/>
  <c r="AD4" i="3"/>
  <c r="AE6" i="3"/>
  <c r="AC5" i="5" l="1"/>
  <c r="AC4" i="5"/>
  <c r="AD6" i="5"/>
  <c r="AF6" i="3"/>
  <c r="AE5" i="3"/>
  <c r="AE4" i="3"/>
  <c r="AC4" i="2"/>
  <c r="AD6" i="2"/>
  <c r="AC5" i="2"/>
  <c r="AP40" i="3"/>
  <c r="AD4" i="4"/>
  <c r="AP41" i="4" s="1"/>
  <c r="AE6" i="4"/>
  <c r="AD5" i="4"/>
  <c r="AD5" i="2" l="1"/>
  <c r="AD4" i="2"/>
  <c r="AE6" i="2"/>
  <c r="AF4" i="3"/>
  <c r="AF5" i="3"/>
  <c r="AF6" i="4"/>
  <c r="AE5" i="4"/>
  <c r="AE4" i="4"/>
  <c r="AP30" i="3"/>
  <c r="AP38" i="3"/>
  <c r="AD5" i="5"/>
  <c r="AE6" i="5"/>
  <c r="AD4" i="5"/>
  <c r="AE4" i="5" l="1"/>
  <c r="AE5" i="5"/>
  <c r="AF6" i="5"/>
  <c r="AF5" i="4"/>
  <c r="AF4" i="4"/>
  <c r="AP18" i="4" s="1"/>
  <c r="AL41" i="3"/>
  <c r="AL22" i="3"/>
  <c r="AL30" i="3"/>
  <c r="AK16" i="3"/>
  <c r="AM7" i="3"/>
  <c r="AK23" i="3"/>
  <c r="AM41" i="3"/>
  <c r="AM16" i="3"/>
  <c r="AL16" i="3"/>
  <c r="AM30" i="3"/>
  <c r="AM37" i="3"/>
  <c r="AM27" i="3"/>
  <c r="AM42" i="3"/>
  <c r="AM24" i="3"/>
  <c r="AK24" i="3"/>
  <c r="AK22" i="3"/>
  <c r="AM22" i="3"/>
  <c r="AL13" i="3"/>
  <c r="AL32" i="3"/>
  <c r="AL25" i="3"/>
  <c r="AL8" i="3"/>
  <c r="AL10" i="3"/>
  <c r="AL23" i="3"/>
  <c r="AK42" i="3"/>
  <c r="AK40" i="3"/>
  <c r="AL7" i="3"/>
  <c r="AK13" i="3"/>
  <c r="AM39" i="3"/>
  <c r="AM28" i="3"/>
  <c r="AM40" i="3"/>
  <c r="AK9" i="3"/>
  <c r="AK15" i="3"/>
  <c r="AL15" i="3"/>
  <c r="AL19" i="3"/>
  <c r="AK32" i="3"/>
  <c r="AM13" i="3"/>
  <c r="AK28" i="3"/>
  <c r="AM32" i="3"/>
  <c r="AL38" i="3"/>
  <c r="AL28" i="3"/>
  <c r="AM8" i="3"/>
  <c r="AK7" i="3"/>
  <c r="AL39" i="3"/>
  <c r="AM19" i="3"/>
  <c r="AM9" i="3"/>
  <c r="AK19" i="3"/>
  <c r="AK18" i="3"/>
  <c r="AL18" i="3"/>
  <c r="AK39" i="3"/>
  <c r="AM23" i="3"/>
  <c r="AM18" i="3"/>
  <c r="AK11" i="3"/>
  <c r="AM15" i="3"/>
  <c r="AL42" i="3"/>
  <c r="AK41" i="3"/>
  <c r="AL33" i="3"/>
  <c r="AL40" i="3"/>
  <c r="AK33" i="3"/>
  <c r="AK37" i="3"/>
  <c r="AM38" i="3"/>
  <c r="AK10" i="3"/>
  <c r="AM10" i="3"/>
  <c r="AK30" i="3"/>
  <c r="AK8" i="3"/>
  <c r="AL37" i="3"/>
  <c r="AM33" i="3"/>
  <c r="AL9" i="3"/>
  <c r="AK38" i="3"/>
  <c r="AL11" i="3"/>
  <c r="AL12" i="3"/>
  <c r="AM12" i="3"/>
  <c r="AL34" i="3"/>
  <c r="AL26" i="3"/>
  <c r="AM11" i="3"/>
  <c r="AK12" i="3"/>
  <c r="AK34" i="3"/>
  <c r="AM26" i="3"/>
  <c r="AK26" i="3"/>
  <c r="AM34" i="3"/>
  <c r="AK27" i="3"/>
  <c r="AL24" i="3"/>
  <c r="AK25" i="3"/>
  <c r="AL27" i="3"/>
  <c r="AM25" i="3"/>
  <c r="AP12" i="3"/>
  <c r="AP27" i="3"/>
  <c r="AP37" i="3"/>
  <c r="AP22" i="4"/>
  <c r="AP23" i="4"/>
  <c r="AP16" i="4"/>
  <c r="AE4" i="2"/>
  <c r="AF6" i="2"/>
  <c r="AE5" i="2"/>
  <c r="AP30" i="5"/>
  <c r="AP15" i="4" l="1"/>
  <c r="AP19" i="4"/>
  <c r="AF5" i="2"/>
  <c r="AF4" i="2"/>
  <c r="AP37" i="4"/>
  <c r="AM12" i="4"/>
  <c r="AM33" i="4"/>
  <c r="AL25" i="4"/>
  <c r="AL12" i="4"/>
  <c r="AL26" i="4"/>
  <c r="AL9" i="4"/>
  <c r="AL37" i="4"/>
  <c r="AM24" i="4"/>
  <c r="AK9" i="4"/>
  <c r="AK24" i="4"/>
  <c r="AL38" i="4"/>
  <c r="AK12" i="4"/>
  <c r="AL7" i="4"/>
  <c r="AL19" i="4"/>
  <c r="AM25" i="4"/>
  <c r="AM29" i="4"/>
  <c r="AL11" i="4"/>
  <c r="AK25" i="4"/>
  <c r="AK38" i="4"/>
  <c r="AM9" i="4"/>
  <c r="AL27" i="4"/>
  <c r="AK19" i="4"/>
  <c r="AK13" i="4"/>
  <c r="AK26" i="4"/>
  <c r="AM11" i="4"/>
  <c r="AL24" i="4"/>
  <c r="AL10" i="4"/>
  <c r="AM26" i="4"/>
  <c r="AL28" i="4"/>
  <c r="AM27" i="4"/>
  <c r="AL20" i="4"/>
  <c r="AK33" i="4"/>
  <c r="AL33" i="4"/>
  <c r="AM22" i="4"/>
  <c r="AM31" i="4"/>
  <c r="AK37" i="4"/>
  <c r="AL40" i="4"/>
  <c r="AK23" i="4"/>
  <c r="AL23" i="4"/>
  <c r="AM13" i="4"/>
  <c r="AM39" i="4"/>
  <c r="AM19" i="4"/>
  <c r="AM40" i="4"/>
  <c r="AM23" i="4"/>
  <c r="AK40" i="4"/>
  <c r="AK11" i="4"/>
  <c r="AL39" i="4"/>
  <c r="AM7" i="4"/>
  <c r="AL36" i="4"/>
  <c r="AL22" i="4"/>
  <c r="AM37" i="4"/>
  <c r="AK28" i="4"/>
  <c r="AL29" i="4"/>
  <c r="AK39" i="4"/>
  <c r="AL41" i="4"/>
  <c r="AM28" i="4"/>
  <c r="AM41" i="4"/>
  <c r="AK27" i="4"/>
  <c r="AK10" i="4"/>
  <c r="AM38" i="4"/>
  <c r="AK7" i="4"/>
  <c r="AK29" i="4"/>
  <c r="AL13" i="4"/>
  <c r="AM10" i="4"/>
  <c r="AL31" i="4"/>
  <c r="AK31" i="4"/>
  <c r="AK41" i="4"/>
  <c r="AK15" i="4"/>
  <c r="AK22" i="4"/>
  <c r="AL32" i="4"/>
  <c r="AK18" i="4"/>
  <c r="AL18" i="4"/>
  <c r="AM16" i="4"/>
  <c r="AK16" i="4"/>
  <c r="AL16" i="4"/>
  <c r="AM32" i="4"/>
  <c r="AM36" i="4"/>
  <c r="AK36" i="4"/>
  <c r="AK32" i="4"/>
  <c r="AM20" i="4"/>
  <c r="AK20" i="4"/>
  <c r="AK8" i="4"/>
  <c r="AM18" i="4"/>
  <c r="AL8" i="4"/>
  <c r="AM8" i="4"/>
  <c r="AL15" i="4"/>
  <c r="AM15" i="4"/>
  <c r="AP13" i="4"/>
  <c r="AF4" i="5"/>
  <c r="AF5" i="5"/>
  <c r="AK23" i="5" l="1"/>
  <c r="AM23" i="5"/>
  <c r="AM21" i="5"/>
  <c r="AK8" i="5"/>
  <c r="AL21" i="5"/>
  <c r="AL22" i="5"/>
  <c r="AL31" i="5"/>
  <c r="AL7" i="5"/>
  <c r="AM10" i="5"/>
  <c r="AK36" i="5"/>
  <c r="AM8" i="5"/>
  <c r="AL36" i="5"/>
  <c r="AK30" i="5"/>
  <c r="AM37" i="5"/>
  <c r="AL19" i="5"/>
  <c r="AK31" i="5"/>
  <c r="AM19" i="5"/>
  <c r="AK35" i="5"/>
  <c r="AM13" i="5"/>
  <c r="AM40" i="5"/>
  <c r="AK37" i="5"/>
  <c r="AK38" i="5"/>
  <c r="AM16" i="5"/>
  <c r="AL8" i="5"/>
  <c r="AL38" i="5"/>
  <c r="AL13" i="5"/>
  <c r="AL23" i="5"/>
  <c r="AM35" i="5"/>
  <c r="AK16" i="5"/>
  <c r="AM25" i="5"/>
  <c r="AL16" i="5"/>
  <c r="AL35" i="5"/>
  <c r="AM36" i="5"/>
  <c r="AL10" i="5"/>
  <c r="AM7" i="5"/>
  <c r="AK18" i="5"/>
  <c r="AK40" i="5"/>
  <c r="AM18" i="5"/>
  <c r="AK7" i="5"/>
  <c r="AK13" i="5"/>
  <c r="AM39" i="5"/>
  <c r="AK12" i="5"/>
  <c r="AK21" i="5"/>
  <c r="AM38" i="5"/>
  <c r="AK22" i="5"/>
  <c r="AK39" i="5"/>
  <c r="AL27" i="5"/>
  <c r="AL37" i="5"/>
  <c r="AM31" i="5"/>
  <c r="AM22" i="5"/>
  <c r="AL39" i="5"/>
  <c r="AM28" i="5"/>
  <c r="AL30" i="5"/>
  <c r="AK24" i="5"/>
  <c r="AK10" i="5"/>
  <c r="AL18" i="5"/>
  <c r="AM15" i="5"/>
  <c r="AK15" i="5"/>
  <c r="AL24" i="5"/>
  <c r="AL15" i="5"/>
  <c r="AK19" i="5"/>
  <c r="AM27" i="5"/>
  <c r="AK25" i="5"/>
  <c r="AM11" i="5"/>
  <c r="AM9" i="5"/>
  <c r="AM12" i="5"/>
  <c r="AK32" i="5"/>
  <c r="AL12" i="5"/>
  <c r="AM32" i="5"/>
  <c r="AL32" i="5"/>
  <c r="AL25" i="5"/>
  <c r="AK9" i="5"/>
  <c r="AL9" i="5"/>
  <c r="AK26" i="5"/>
  <c r="AL11" i="5"/>
  <c r="AK11" i="5"/>
  <c r="AL26" i="5"/>
  <c r="AM24" i="5"/>
  <c r="AM26" i="5"/>
  <c r="AL40" i="5"/>
  <c r="AK28" i="5"/>
  <c r="AK27" i="5"/>
  <c r="AL28" i="5"/>
  <c r="AM30" i="5"/>
  <c r="AM11" i="2"/>
  <c r="AL26" i="2"/>
  <c r="AK26" i="2"/>
  <c r="AK32" i="2"/>
  <c r="AM33" i="2"/>
  <c r="AK39" i="2"/>
  <c r="AM18" i="2"/>
  <c r="AM40" i="2"/>
  <c r="AM22" i="2"/>
  <c r="AM37" i="2"/>
  <c r="AL22" i="2"/>
  <c r="AK19" i="2"/>
  <c r="AM13" i="2"/>
  <c r="AK9" i="2"/>
  <c r="AM39" i="2"/>
  <c r="AL28" i="2"/>
  <c r="AL25" i="2"/>
  <c r="AL41" i="2"/>
  <c r="AL38" i="2"/>
  <c r="AL40" i="2"/>
  <c r="AK38" i="2"/>
  <c r="AK13" i="2"/>
  <c r="AK28" i="2"/>
  <c r="AM41" i="2"/>
  <c r="AK18" i="2"/>
  <c r="AL9" i="2"/>
  <c r="AM10" i="2"/>
  <c r="AK15" i="2"/>
  <c r="AM32" i="2"/>
  <c r="AK10" i="2"/>
  <c r="AL13" i="2"/>
  <c r="AM42" i="2"/>
  <c r="AL7" i="2"/>
  <c r="AK34" i="2"/>
  <c r="AK22" i="2"/>
  <c r="AL39" i="2"/>
  <c r="AM25" i="2"/>
  <c r="AK30" i="2"/>
  <c r="AK23" i="2"/>
  <c r="AM28" i="2"/>
  <c r="AM23" i="2"/>
  <c r="AK40" i="2"/>
  <c r="AL42" i="2"/>
  <c r="AM19" i="2"/>
  <c r="AM7" i="2"/>
  <c r="AL8" i="2"/>
  <c r="AM38" i="2"/>
  <c r="AK8" i="2"/>
  <c r="AK42" i="2"/>
  <c r="AK25" i="2"/>
  <c r="AM15" i="2"/>
  <c r="AL15" i="2"/>
  <c r="AL18" i="2"/>
  <c r="AM30" i="2"/>
  <c r="AM9" i="2"/>
  <c r="AK7" i="2"/>
  <c r="AL23" i="2"/>
  <c r="AL30" i="2"/>
  <c r="AL19" i="2"/>
  <c r="AM8" i="2"/>
  <c r="AK33" i="2"/>
  <c r="AL32" i="2"/>
  <c r="AM34" i="2"/>
  <c r="AL34" i="2"/>
  <c r="AK41" i="2"/>
  <c r="AK37" i="2"/>
  <c r="AL33" i="2"/>
  <c r="AL10" i="2"/>
  <c r="AL12" i="2"/>
  <c r="AL11" i="2"/>
  <c r="AL37" i="2"/>
  <c r="AP37" i="2"/>
  <c r="AK11" i="2"/>
  <c r="AK12" i="2"/>
  <c r="AK27" i="2"/>
  <c r="AL27" i="2"/>
  <c r="AM26" i="2"/>
  <c r="AL24" i="2"/>
  <c r="AK24" i="2"/>
  <c r="AM24" i="2"/>
  <c r="AM12" i="2"/>
  <c r="AK16" i="2"/>
  <c r="AM16" i="2"/>
  <c r="AL16" i="2"/>
  <c r="AM27" i="2"/>
</calcChain>
</file>

<file path=xl/sharedStrings.xml><?xml version="1.0" encoding="utf-8"?>
<sst xmlns="http://schemas.openxmlformats.org/spreadsheetml/2006/main" count="3558" uniqueCount="97">
  <si>
    <t>Months</t>
  </si>
  <si>
    <t>Holidays</t>
  </si>
  <si>
    <t>January</t>
  </si>
  <si>
    <t>New Year's Day</t>
  </si>
  <si>
    <t>OH</t>
  </si>
  <si>
    <t>After-exhausting 4 OH</t>
  </si>
  <si>
    <t>February</t>
  </si>
  <si>
    <t>Republic Day</t>
  </si>
  <si>
    <t>MH</t>
  </si>
  <si>
    <t>March</t>
  </si>
  <si>
    <t>Holi</t>
  </si>
  <si>
    <t>April</t>
  </si>
  <si>
    <t>Gudhi Padwa / Ugadi</t>
  </si>
  <si>
    <t>Priviledged Leave</t>
  </si>
  <si>
    <t>May</t>
  </si>
  <si>
    <t>Shri Ram Navami</t>
  </si>
  <si>
    <t>PL</t>
  </si>
  <si>
    <t>June</t>
  </si>
  <si>
    <t>Good Friday</t>
  </si>
  <si>
    <t>UL</t>
  </si>
  <si>
    <t>July</t>
  </si>
  <si>
    <t>Dr. Baba Saheb Ambedkar Jayanti</t>
  </si>
  <si>
    <t>HD</t>
  </si>
  <si>
    <t>August</t>
  </si>
  <si>
    <t>Maharashtra Day</t>
  </si>
  <si>
    <t>September</t>
  </si>
  <si>
    <t>Eid Ul-Adha</t>
  </si>
  <si>
    <t>October</t>
  </si>
  <si>
    <t>Independence Day</t>
  </si>
  <si>
    <t>November</t>
  </si>
  <si>
    <t>Onam/Id-E-Milad</t>
  </si>
  <si>
    <t>December</t>
  </si>
  <si>
    <t>Ganesh Chaturthi</t>
  </si>
  <si>
    <t>MahatmaGandhi Jayanti</t>
  </si>
  <si>
    <t>Dussehra</t>
  </si>
  <si>
    <t>Diwali</t>
  </si>
  <si>
    <t>Guru Nanak Jayanti</t>
  </si>
  <si>
    <t>Christmas</t>
  </si>
  <si>
    <t xml:space="preserve">Attendance for the Month of </t>
  </si>
  <si>
    <t>Start Date</t>
  </si>
  <si>
    <t>End Date</t>
  </si>
  <si>
    <t>Name</t>
  </si>
  <si>
    <t>Present Days P</t>
  </si>
  <si>
    <t>Approved Leaves PL</t>
  </si>
  <si>
    <t>Unscheduled Leaves UL</t>
  </si>
  <si>
    <t>Loss of Pay LOP</t>
  </si>
  <si>
    <t>Present on MH</t>
  </si>
  <si>
    <t>Present on OH</t>
  </si>
  <si>
    <t>Eligible Comp Offs</t>
  </si>
  <si>
    <t>Availed Comp Off CO</t>
  </si>
  <si>
    <t>Late Login LL</t>
  </si>
  <si>
    <t>WFH WH</t>
  </si>
  <si>
    <t>Neelabh Sanyal</t>
  </si>
  <si>
    <t>P</t>
  </si>
  <si>
    <t>WO</t>
  </si>
  <si>
    <t>Yogesh Parulekar</t>
  </si>
  <si>
    <t>P_LL</t>
  </si>
  <si>
    <t>Vishal Parab</t>
  </si>
  <si>
    <t>Yash Bhatia</t>
  </si>
  <si>
    <t>Yogini Parmar</t>
  </si>
  <si>
    <t>Rutuja Lad</t>
  </si>
  <si>
    <t>Vinamra More</t>
  </si>
  <si>
    <t>P_WH</t>
  </si>
  <si>
    <t>Ritika Singh</t>
  </si>
  <si>
    <t>Shivam Nag</t>
  </si>
  <si>
    <t>Ashish Baral</t>
  </si>
  <si>
    <t>Aparna More</t>
  </si>
  <si>
    <t>ML</t>
  </si>
  <si>
    <t>Mayuri Patkar</t>
  </si>
  <si>
    <t>Divija Sane</t>
  </si>
  <si>
    <t>Muskan Khan</t>
  </si>
  <si>
    <t>Ikshita Munj</t>
  </si>
  <si>
    <t>Vaishnavi Dongare</t>
  </si>
  <si>
    <t>Ayush Sakpal</t>
  </si>
  <si>
    <t>Aniket Gaste</t>
  </si>
  <si>
    <t>MD Shahnawaz</t>
  </si>
  <si>
    <t>Vishal Gohel</t>
  </si>
  <si>
    <t>Aditya Sharma</t>
  </si>
  <si>
    <t>Abhishek Bhadra</t>
  </si>
  <si>
    <t>Kajaldevi Yadav</t>
  </si>
  <si>
    <t>Chaitali Thanekar</t>
  </si>
  <si>
    <t>Akshay Tambe</t>
  </si>
  <si>
    <t>Sneha Agarwal</t>
  </si>
  <si>
    <t>Ganesh Devkamble</t>
  </si>
  <si>
    <t>Shamith Sanil</t>
  </si>
  <si>
    <t>Yash Pitale</t>
  </si>
  <si>
    <t>Jairaj Bhosale</t>
  </si>
  <si>
    <t>Priyanka Mane</t>
  </si>
  <si>
    <t>Mohammed Waquar Vasta</t>
  </si>
  <si>
    <t>Roshan Lokhande</t>
  </si>
  <si>
    <t>Namrata Pandhi</t>
  </si>
  <si>
    <t>Basudam Dhara</t>
  </si>
  <si>
    <t>Vipul Srivastava</t>
  </si>
  <si>
    <t>L</t>
  </si>
  <si>
    <t>EXIT</t>
  </si>
  <si>
    <t>LOP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</si>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</sst>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"/>
    <numFmt numFmtId="165" formatCode="dd&quot;-&quot;mm&quot;-&quot;yyyy&quot; &quot;"/>
    <numFmt numFmtId="166" formatCode="mm\-dd\-yyyy"/>
    <numFmt numFmtId="167" formatCode="dd&quot;   &quot;"/>
  </numFmts>
  <fonts count="9" x14ac:knownFonts="1">
    <font>
      <sz val="10"/>
      <color rgb="FF000000"/>
      <name val="Arial"/>
      <scheme val="minor"/>
    </font>
    <font>
      <sz val="11"/>
      <color rgb="FF000000"/>
      <name val="Calibri"/>
    </font>
    <font>
      <sz val="10"/>
      <name val="Arial"/>
    </font>
    <font>
      <sz val="10"/>
      <color theme="1"/>
      <name val="Arial"/>
      <scheme val="minor"/>
    </font>
    <font>
      <sz val="10"/>
      <color rgb="FF000000"/>
      <name val="Calibri"/>
    </font>
    <font>
      <b/>
      <sz val="11"/>
      <color rgb="FF000000"/>
      <name val="Calibri"/>
    </font>
    <font>
      <b/>
      <sz val="10"/>
      <color rgb="FF000000"/>
      <name val="Calibri"/>
    </font>
    <font>
      <sz val="11"/>
      <color theme="1"/>
      <name val="Calibri"/>
    </font>
    <font>
      <i/>
      <sz val="11"/>
      <color theme="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4" xfId="0" applyFont="1" applyBorder="1"/>
    <xf numFmtId="0" fontId="3" fillId="0" borderId="0" xfId="0" applyFont="1"/>
    <xf numFmtId="0" fontId="4" fillId="2" borderId="4" xfId="0" applyFont="1" applyFill="1" applyBorder="1" applyAlignment="1">
      <alignment vertical="top"/>
    </xf>
    <xf numFmtId="164" fontId="4" fillId="2" borderId="4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vertical="top"/>
    </xf>
    <xf numFmtId="164" fontId="4" fillId="3" borderId="4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top"/>
    </xf>
    <xf numFmtId="164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3" borderId="4" xfId="0" applyFont="1" applyFill="1" applyBorder="1" applyAlignment="1">
      <alignment vertical="top"/>
    </xf>
    <xf numFmtId="164" fontId="6" fillId="3" borderId="4" xfId="0" applyNumberFormat="1" applyFont="1" applyFill="1" applyBorder="1" applyAlignment="1">
      <alignment horizontal="center"/>
    </xf>
    <xf numFmtId="0" fontId="4" fillId="2" borderId="0" xfId="0" applyFont="1" applyFill="1" applyAlignment="1">
      <alignment vertical="top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4" borderId="9" xfId="0" applyFont="1" applyFill="1" applyBorder="1" applyAlignment="1">
      <alignment horizontal="center"/>
    </xf>
    <xf numFmtId="167" fontId="5" fillId="4" borderId="8" xfId="0" applyNumberFormat="1" applyFont="1" applyFill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0" borderId="0" xfId="0" applyFont="1"/>
    <xf numFmtId="0" fontId="8" fillId="6" borderId="4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5" fillId="0" borderId="5" xfId="0" applyFont="1" applyBorder="1" applyAlignment="1">
      <alignment horizontal="center"/>
    </xf>
    <xf numFmtId="0" fontId="2" fillId="0" borderId="6" xfId="0" applyFont="1" applyBorder="1"/>
    <xf numFmtId="0" fontId="5" fillId="0" borderId="6" xfId="0" applyFont="1" applyBorder="1" applyAlignment="1">
      <alignment horizontal="center"/>
    </xf>
    <xf numFmtId="0" fontId="2" fillId="0" borderId="7" xfId="0" applyFont="1" applyBorder="1"/>
    <xf numFmtId="0" fontId="5" fillId="0" borderId="0" xfId="0" applyFont="1" applyAlignment="1">
      <alignment horizontal="center"/>
    </xf>
    <xf numFmtId="0" fontId="0" fillId="0" borderId="0" xfId="0"/>
    <xf numFmtId="0" fontId="5" fillId="4" borderId="8" xfId="0" applyFont="1" applyFill="1" applyBorder="1" applyAlignment="1">
      <alignment horizontal="center"/>
    </xf>
    <xf numFmtId="0" fontId="2" fillId="0" borderId="10" xfId="0" applyFont="1" applyBorder="1"/>
    <xf numFmtId="0" fontId="5" fillId="4" borderId="8" xfId="0" applyFont="1" applyFill="1" applyBorder="1" applyAlignment="1">
      <alignment horizontal="center" wrapText="1"/>
    </xf>
  </cellXfs>
  <cellStyles count="1">
    <cellStyle name="Normal" xfId="0" builtinId="0"/>
  </cellStyles>
  <dxfs count="4">
    <dxf>
      <fill>
        <patternFill patternType="solid">
          <fgColor rgb="FFE6B8AF"/>
          <bgColor rgb="FFE6B8AF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E6B8AF"/>
          <bgColor rgb="FFE6B8A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21"/>
  <sheetViews>
    <sheetView workbookViewId="0"/>
  </sheetViews>
  <sheetFormatPr defaultColWidth="12.6328125" defaultRowHeight="15.75" customHeight="1" x14ac:dyDescent="0.25"/>
  <cols>
    <col min="1" max="1" width="14.08984375" customWidth="1"/>
    <col min="3" max="3" width="21.7265625" customWidth="1"/>
    <col min="5" max="5" width="13.7265625" customWidth="1"/>
    <col min="9" max="9" width="15.453125" customWidth="1"/>
  </cols>
  <sheetData>
    <row r="1" spans="1:12" ht="15.75" customHeight="1" x14ac:dyDescent="0.35">
      <c r="A1" s="1" t="s">
        <v>0</v>
      </c>
      <c r="B1" s="1"/>
      <c r="C1" s="27" t="s">
        <v>1</v>
      </c>
      <c r="D1" s="28"/>
      <c r="E1" s="29"/>
      <c r="F1" s="2"/>
      <c r="G1" s="3">
        <v>10</v>
      </c>
      <c r="H1" s="3">
        <v>9</v>
      </c>
    </row>
    <row r="2" spans="1:12" ht="15.75" customHeight="1" x14ac:dyDescent="0.35">
      <c r="A2" s="1" t="s">
        <v>2</v>
      </c>
      <c r="B2" s="1"/>
      <c r="C2" s="4" t="s">
        <v>3</v>
      </c>
      <c r="D2" s="5">
        <v>46023</v>
      </c>
      <c r="E2" s="4" t="s">
        <v>4</v>
      </c>
      <c r="F2" s="4" t="str">
        <f t="shared" ref="F2:F18" si="0">TEXT(D2,"DDDD")</f>
        <v>Thursday</v>
      </c>
      <c r="J2" s="3" t="s">
        <v>5</v>
      </c>
    </row>
    <row r="3" spans="1:12" ht="15.75" customHeight="1" x14ac:dyDescent="0.35">
      <c r="A3" s="1" t="s">
        <v>6</v>
      </c>
      <c r="B3" s="1"/>
      <c r="C3" s="4" t="s">
        <v>7</v>
      </c>
      <c r="D3" s="5">
        <v>46048</v>
      </c>
      <c r="E3" s="4" t="s">
        <v>8</v>
      </c>
      <c r="F3" s="4" t="str">
        <f t="shared" si="0"/>
        <v>Monday</v>
      </c>
      <c r="H3" s="3" t="s">
        <v>4</v>
      </c>
      <c r="I3" s="3">
        <v>4</v>
      </c>
    </row>
    <row r="4" spans="1:12" ht="15.75" customHeight="1" x14ac:dyDescent="0.35">
      <c r="A4" s="1" t="s">
        <v>9</v>
      </c>
      <c r="B4" s="1"/>
      <c r="C4" s="4" t="s">
        <v>10</v>
      </c>
      <c r="D4" s="5">
        <v>46084</v>
      </c>
      <c r="E4" s="4" t="s">
        <v>8</v>
      </c>
      <c r="F4" s="4" t="str">
        <f t="shared" si="0"/>
        <v>Tuesday</v>
      </c>
      <c r="H4" s="3" t="s">
        <v>8</v>
      </c>
      <c r="I4" s="3">
        <v>8</v>
      </c>
    </row>
    <row r="5" spans="1:12" ht="15.75" customHeight="1" x14ac:dyDescent="0.35">
      <c r="A5" s="1" t="s">
        <v>11</v>
      </c>
      <c r="B5" s="1">
        <v>1</v>
      </c>
      <c r="C5" s="6" t="s">
        <v>12</v>
      </c>
      <c r="D5" s="7">
        <v>46100</v>
      </c>
      <c r="E5" s="6" t="s">
        <v>4</v>
      </c>
      <c r="F5" s="6" t="str">
        <f t="shared" si="0"/>
        <v>Thursday</v>
      </c>
      <c r="H5" s="3" t="s">
        <v>13</v>
      </c>
      <c r="I5" s="8">
        <v>21</v>
      </c>
      <c r="J5" s="9"/>
      <c r="K5" s="8"/>
      <c r="L5" s="8"/>
    </row>
    <row r="6" spans="1:12" ht="15.75" customHeight="1" x14ac:dyDescent="0.35">
      <c r="A6" s="1" t="s">
        <v>14</v>
      </c>
      <c r="B6" s="1">
        <v>2</v>
      </c>
      <c r="C6" s="6" t="s">
        <v>15</v>
      </c>
      <c r="D6" s="7">
        <v>46107</v>
      </c>
      <c r="E6" s="6" t="s">
        <v>4</v>
      </c>
      <c r="F6" s="6" t="str">
        <f t="shared" si="0"/>
        <v>Thursday</v>
      </c>
      <c r="H6" s="3" t="s">
        <v>16</v>
      </c>
      <c r="I6" s="8"/>
      <c r="J6" s="9"/>
      <c r="K6" s="8"/>
      <c r="L6" s="8"/>
    </row>
    <row r="7" spans="1:12" ht="15.75" customHeight="1" x14ac:dyDescent="0.35">
      <c r="A7" s="1" t="s">
        <v>17</v>
      </c>
      <c r="B7" s="1">
        <v>3</v>
      </c>
      <c r="C7" s="6" t="s">
        <v>18</v>
      </c>
      <c r="D7" s="7">
        <v>46115</v>
      </c>
      <c r="E7" s="6" t="s">
        <v>4</v>
      </c>
      <c r="F7" s="6" t="str">
        <f t="shared" si="0"/>
        <v>Friday</v>
      </c>
      <c r="H7" s="3" t="s">
        <v>19</v>
      </c>
      <c r="K7" s="8"/>
      <c r="L7" s="8"/>
    </row>
    <row r="8" spans="1:12" ht="15.75" customHeight="1" x14ac:dyDescent="0.35">
      <c r="A8" s="1" t="s">
        <v>20</v>
      </c>
      <c r="B8" s="1">
        <v>4</v>
      </c>
      <c r="C8" s="6" t="s">
        <v>21</v>
      </c>
      <c r="D8" s="7">
        <v>46126</v>
      </c>
      <c r="E8" s="6" t="s">
        <v>4</v>
      </c>
      <c r="F8" s="6" t="str">
        <f t="shared" si="0"/>
        <v>Tuesday</v>
      </c>
      <c r="H8" s="3" t="s">
        <v>22</v>
      </c>
    </row>
    <row r="9" spans="1:12" ht="15.75" customHeight="1" x14ac:dyDescent="0.35">
      <c r="A9" s="1" t="s">
        <v>23</v>
      </c>
      <c r="B9" s="10">
        <v>5</v>
      </c>
      <c r="C9" s="11" t="s">
        <v>24</v>
      </c>
      <c r="D9" s="12">
        <v>46143</v>
      </c>
      <c r="E9" s="11" t="s">
        <v>8</v>
      </c>
      <c r="F9" s="11" t="str">
        <f t="shared" si="0"/>
        <v>Friday</v>
      </c>
    </row>
    <row r="10" spans="1:12" ht="15.75" customHeight="1" x14ac:dyDescent="0.35">
      <c r="A10" s="1" t="s">
        <v>25</v>
      </c>
      <c r="B10" s="1">
        <v>6</v>
      </c>
      <c r="C10" s="6" t="s">
        <v>26</v>
      </c>
      <c r="D10" s="7">
        <v>46170</v>
      </c>
      <c r="E10" s="6" t="s">
        <v>4</v>
      </c>
      <c r="F10" s="6" t="str">
        <f t="shared" si="0"/>
        <v>Thursday</v>
      </c>
    </row>
    <row r="11" spans="1:12" ht="15.75" customHeight="1" x14ac:dyDescent="0.35">
      <c r="A11" s="1" t="s">
        <v>27</v>
      </c>
      <c r="B11" s="10">
        <v>7</v>
      </c>
      <c r="C11" s="11" t="s">
        <v>28</v>
      </c>
      <c r="D11" s="12">
        <v>46249</v>
      </c>
      <c r="E11" s="11" t="s">
        <v>8</v>
      </c>
      <c r="F11" s="11" t="str">
        <f t="shared" si="0"/>
        <v>Saturday</v>
      </c>
    </row>
    <row r="12" spans="1:12" ht="15.75" customHeight="1" x14ac:dyDescent="0.35">
      <c r="A12" s="1" t="s">
        <v>29</v>
      </c>
      <c r="B12" s="1">
        <v>8</v>
      </c>
      <c r="C12" s="6" t="s">
        <v>30</v>
      </c>
      <c r="D12" s="7">
        <v>46260</v>
      </c>
      <c r="E12" s="6" t="s">
        <v>4</v>
      </c>
      <c r="F12" s="6" t="str">
        <f t="shared" si="0"/>
        <v>Wednesday</v>
      </c>
      <c r="H12" s="13"/>
      <c r="I12" s="9"/>
      <c r="J12" s="13"/>
      <c r="K12" s="13"/>
      <c r="L12" s="9"/>
    </row>
    <row r="13" spans="1:12" ht="15.75" customHeight="1" x14ac:dyDescent="0.35">
      <c r="A13" s="1" t="s">
        <v>31</v>
      </c>
      <c r="B13" s="1">
        <v>9</v>
      </c>
      <c r="C13" s="6" t="s">
        <v>32</v>
      </c>
      <c r="D13" s="7">
        <v>46279</v>
      </c>
      <c r="E13" s="6" t="s">
        <v>4</v>
      </c>
      <c r="F13" s="6" t="str">
        <f t="shared" si="0"/>
        <v>Monday</v>
      </c>
    </row>
    <row r="14" spans="1:12" ht="15.75" customHeight="1" x14ac:dyDescent="0.35">
      <c r="A14" s="1"/>
      <c r="B14" s="10">
        <v>10</v>
      </c>
      <c r="C14" s="11" t="s">
        <v>33</v>
      </c>
      <c r="D14" s="12">
        <v>46297</v>
      </c>
      <c r="E14" s="11" t="s">
        <v>8</v>
      </c>
      <c r="F14" s="11" t="str">
        <f t="shared" si="0"/>
        <v>Friday</v>
      </c>
    </row>
    <row r="15" spans="1:12" ht="15.75" customHeight="1" x14ac:dyDescent="0.35">
      <c r="A15" s="1"/>
      <c r="B15" s="1">
        <v>11</v>
      </c>
      <c r="C15" s="6" t="s">
        <v>34</v>
      </c>
      <c r="D15" s="7">
        <v>46315</v>
      </c>
      <c r="E15" s="6" t="s">
        <v>8</v>
      </c>
      <c r="F15" s="6" t="str">
        <f t="shared" si="0"/>
        <v>Tuesday</v>
      </c>
    </row>
    <row r="16" spans="1:12" ht="15.75" customHeight="1" x14ac:dyDescent="0.35">
      <c r="A16" s="1"/>
      <c r="B16" s="1">
        <v>12</v>
      </c>
      <c r="C16" s="6" t="s">
        <v>35</v>
      </c>
      <c r="D16" s="7">
        <v>46336</v>
      </c>
      <c r="E16" s="6" t="s">
        <v>8</v>
      </c>
      <c r="F16" s="6" t="str">
        <f t="shared" si="0"/>
        <v>Tuesday</v>
      </c>
    </row>
    <row r="17" spans="1:6" ht="15.75" customHeight="1" x14ac:dyDescent="0.35">
      <c r="A17" s="1"/>
      <c r="B17" s="1">
        <v>13</v>
      </c>
      <c r="C17" s="6" t="s">
        <v>36</v>
      </c>
      <c r="D17" s="7">
        <v>46350</v>
      </c>
      <c r="E17" s="6" t="s">
        <v>4</v>
      </c>
      <c r="F17" s="6" t="str">
        <f t="shared" si="0"/>
        <v>Tuesday</v>
      </c>
    </row>
    <row r="18" spans="1:6" ht="15.75" customHeight="1" x14ac:dyDescent="0.35">
      <c r="A18" s="1"/>
      <c r="B18" s="1">
        <v>14</v>
      </c>
      <c r="C18" s="6" t="s">
        <v>37</v>
      </c>
      <c r="D18" s="7">
        <v>46381</v>
      </c>
      <c r="E18" s="6" t="s">
        <v>8</v>
      </c>
      <c r="F18" s="6" t="str">
        <f t="shared" si="0"/>
        <v>Friday</v>
      </c>
    </row>
    <row r="19" spans="1:6" ht="15.75" customHeight="1" x14ac:dyDescent="0.35">
      <c r="A19" s="1"/>
      <c r="B19" s="1"/>
    </row>
    <row r="20" spans="1:6" ht="15.75" customHeight="1" x14ac:dyDescent="0.35">
      <c r="A20" s="1"/>
      <c r="B20" s="1"/>
    </row>
    <row r="21" spans="1:6" ht="15.75" customHeight="1" x14ac:dyDescent="0.35">
      <c r="A21" s="1"/>
      <c r="B21" s="1"/>
    </row>
  </sheetData>
  <mergeCells count="1">
    <mergeCell ref="C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P1000"/>
  <sheetViews>
    <sheetView workbookViewId="0">
      <pane xSplit="1" topLeftCell="B1" activePane="topRight" state="frozen"/>
      <selection pane="topRight" activeCell="C2" sqref="C2"/>
    </sheetView>
  </sheetViews>
  <sheetFormatPr defaultColWidth="12.6328125" defaultRowHeight="15.75" customHeight="1" x14ac:dyDescent="0.25"/>
  <cols>
    <col min="1" max="1" width="21.453125" customWidth="1"/>
    <col min="8" max="8" width="13" customWidth="1"/>
  </cols>
  <sheetData>
    <row r="1" spans="1:42" ht="14.5" x14ac:dyDescent="0.35">
      <c r="A1" s="14"/>
      <c r="B1" s="30" t="s">
        <v>38</v>
      </c>
      <c r="C1" s="31"/>
      <c r="D1" s="31"/>
      <c r="E1" s="31"/>
      <c r="F1" s="31"/>
      <c r="G1" s="31"/>
      <c r="H1" s="31"/>
      <c r="I1" s="32" t="s">
        <v>20</v>
      </c>
      <c r="J1" s="31"/>
      <c r="K1" s="32">
        <v>2026</v>
      </c>
      <c r="L1" s="33"/>
      <c r="M1" s="15"/>
      <c r="N1" s="15"/>
      <c r="O1" s="15"/>
      <c r="P1" s="15"/>
      <c r="Q1" s="15"/>
      <c r="R1" s="14"/>
      <c r="S1" s="14"/>
      <c r="T1" s="14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</row>
    <row r="2" spans="1:42" ht="14.5" x14ac:dyDescent="0.35">
      <c r="A2" s="15"/>
      <c r="B2" s="34" t="s">
        <v>39</v>
      </c>
      <c r="C2" s="35"/>
      <c r="D2" s="17">
        <f>DATEVALUE("1"&amp;I1&amp;K1)</f>
        <v>46204</v>
      </c>
      <c r="E2" s="18"/>
      <c r="F2" s="34" t="s">
        <v>40</v>
      </c>
      <c r="G2" s="35"/>
      <c r="H2" s="17">
        <f>EOMONTH(D2,0)</f>
        <v>46234</v>
      </c>
      <c r="I2" s="15"/>
      <c r="J2" s="15"/>
      <c r="K2" s="15"/>
      <c r="L2" s="14"/>
      <c r="M2" s="15"/>
      <c r="N2" s="15"/>
      <c r="O2" s="14"/>
      <c r="P2" s="18"/>
      <c r="Q2" s="18"/>
      <c r="R2" s="15"/>
      <c r="S2" s="15"/>
      <c r="T2" s="15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</row>
    <row r="3" spans="1:42" ht="14.5" x14ac:dyDescent="0.3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</row>
    <row r="4" spans="1:42" ht="14.5" x14ac:dyDescent="0.35">
      <c r="A4" s="16"/>
      <c r="B4" s="16" t="str">
        <f>IFERROR(IF(B6="",1,VLOOKUP(B6,Helper!$D$2:$E$18,2,0)),"")</f>
        <v/>
      </c>
      <c r="C4" s="16" t="str">
        <f>IFERROR(IF(C6="",1,VLOOKUP(C6,Helper!$D$2:$E$18,2,0)),"")</f>
        <v/>
      </c>
      <c r="D4" s="16" t="str">
        <f>IFERROR(IF(D6="",1,VLOOKUP(D6,Helper!$D$2:$E$18,2,0)),"")</f>
        <v/>
      </c>
      <c r="E4" s="16" t="str">
        <f>IFERROR(IF(E6="",1,VLOOKUP(E6,Helper!$D$2:$E$18,2,0)),"")</f>
        <v/>
      </c>
      <c r="F4" s="16" t="str">
        <f>IFERROR(IF(F6="",1,VLOOKUP(F6,Helper!$D$2:$E$18,2,0)),"")</f>
        <v/>
      </c>
      <c r="G4" s="16" t="str">
        <f>IFERROR(IF(G6="",1,VLOOKUP(G6,Helper!$D$2:$E$18,2,0)),"")</f>
        <v/>
      </c>
      <c r="H4" s="16" t="str">
        <f>IFERROR(IF(H6="",1,VLOOKUP(H6,Helper!$D$2:$E$18,2,0)),"")</f>
        <v/>
      </c>
      <c r="I4" s="16" t="str">
        <f>IFERROR(IF(I6="",1,VLOOKUP(I6,Helper!$D$2:$E$18,2,0)),"")</f>
        <v/>
      </c>
      <c r="J4" s="16" t="str">
        <f>IFERROR(IF(J6="",1,VLOOKUP(J6,Helper!$D$2:$E$18,2,0)),"")</f>
        <v/>
      </c>
      <c r="K4" s="16" t="str">
        <f>IFERROR(IF(K6="",1,VLOOKUP(K6,Helper!$D$2:$E$18,2,0)),"")</f>
        <v/>
      </c>
      <c r="L4" s="16" t="str">
        <f>IFERROR(IF(L6="",1,VLOOKUP(L6,Helper!$D$2:$E$18,2,0)),"")</f>
        <v/>
      </c>
      <c r="M4" s="16" t="str">
        <f>IFERROR(IF(M6="",1,VLOOKUP(M6,Helper!$D$2:$E$18,2,0)),"")</f>
        <v/>
      </c>
      <c r="N4" s="16" t="str">
        <f>IFERROR(IF(N6="",1,VLOOKUP(N6,Helper!$D$2:$E$18,2,0)),"")</f>
        <v/>
      </c>
      <c r="O4" s="16" t="str">
        <f>IFERROR(IF(O6="",1,VLOOKUP(O6,Helper!$D$2:$E$18,2,0)),"")</f>
        <v/>
      </c>
      <c r="P4" s="16"/>
      <c r="Q4" s="16" t="str">
        <f>IFERROR(IF(Q6="",1,VLOOKUP(Q6,Helper!$D$2:$E$18,2,0)),"")</f>
        <v/>
      </c>
      <c r="R4" s="16" t="str">
        <f>IFERROR(IF(R6="",1,VLOOKUP(R6,Helper!$D$2:$E$18,2,0)),"")</f>
        <v/>
      </c>
      <c r="S4" s="16" t="str">
        <f>IFERROR(IF(S6="",1,VLOOKUP(S6,Helper!$D$2:$E$18,2,0)),"")</f>
        <v/>
      </c>
      <c r="T4" s="16" t="str">
        <f>IFERROR(IF(T6="",1,VLOOKUP(T6,Helper!$D$2:$E$18,2,0)),"")</f>
        <v/>
      </c>
      <c r="U4" s="16" t="str">
        <f>IFERROR(IF(U6="",1,VLOOKUP(U6,Helper!$D$2:$E$18,2,0)),"")</f>
        <v/>
      </c>
      <c r="V4" s="16" t="str">
        <f>IFERROR(IF(V6="",1,VLOOKUP(V6,Helper!$D$2:$E$18,2,0)),"")</f>
        <v/>
      </c>
      <c r="W4" s="16" t="str">
        <f>IFERROR(IF(W6="",1,VLOOKUP(W6,Helper!$D$2:$E$18,2,0)),"")</f>
        <v/>
      </c>
      <c r="X4" s="16" t="str">
        <f>IFERROR(IF(X6="",1,VLOOKUP(X6,Helper!$D$2:$E$18,2,0)),"")</f>
        <v/>
      </c>
      <c r="Y4" s="16" t="str">
        <f>IFERROR(IF(Y6="",1,VLOOKUP(Y6,Helper!$D$2:$E$18,2,0)),"")</f>
        <v/>
      </c>
      <c r="Z4" s="16" t="str">
        <f>IFERROR(IF(Z6="",1,VLOOKUP(Z6,Helper!$D$2:$E$18,2,0)),"")</f>
        <v/>
      </c>
      <c r="AA4" s="16" t="str">
        <f>IFERROR(IF(AA6="",1,VLOOKUP(AA6,Helper!$D$2:$E$18,2,0)),"")</f>
        <v/>
      </c>
      <c r="AB4" s="16"/>
      <c r="AC4" s="16" t="str">
        <f>IFERROR(IF(AC6="",1,VLOOKUP(AC6,Helper!$D$2:$E$18,2,0)),"")</f>
        <v/>
      </c>
      <c r="AD4" s="16" t="str">
        <f>IFERROR(IF(AD6="",1,VLOOKUP(AD6,Helper!$D$2:$E$18,2,0)),"")</f>
        <v/>
      </c>
      <c r="AE4" s="16" t="str">
        <f>IFERROR(IF(AE6="",1,VLOOKUP(AE6,Helper!$D$2:$E$18,2,0)),"")</f>
        <v/>
      </c>
      <c r="AF4" s="16" t="str">
        <f>IFERROR(IF(AF6="",1,VLOOKUP(AF6,Helper!$D$2:$E$18,2,0)),"")</f>
        <v/>
      </c>
      <c r="AG4" s="16"/>
      <c r="AH4" s="16"/>
      <c r="AI4" s="16"/>
      <c r="AJ4" s="16"/>
      <c r="AK4" s="16"/>
      <c r="AL4" s="16"/>
      <c r="AM4" s="16"/>
      <c r="AN4" s="16"/>
      <c r="AO4" s="16"/>
      <c r="AP4" s="16"/>
    </row>
    <row r="5" spans="1:42" ht="14.5" x14ac:dyDescent="0.35">
      <c r="A5" s="36" t="s">
        <v>41</v>
      </c>
      <c r="B5" s="19" t="str">
        <f t="shared" ref="B5:AF5" si="0">TEXT(B6,"DDD")</f>
        <v>Wed</v>
      </c>
      <c r="C5" s="19" t="str">
        <f t="shared" si="0"/>
        <v>Thu</v>
      </c>
      <c r="D5" s="19" t="str">
        <f t="shared" si="0"/>
        <v>Fri</v>
      </c>
      <c r="E5" s="19" t="str">
        <f t="shared" si="0"/>
        <v>Sat</v>
      </c>
      <c r="F5" s="19" t="str">
        <f t="shared" si="0"/>
        <v>Sun</v>
      </c>
      <c r="G5" s="19" t="str">
        <f t="shared" si="0"/>
        <v>Mon</v>
      </c>
      <c r="H5" s="19" t="str">
        <f t="shared" si="0"/>
        <v>Tue</v>
      </c>
      <c r="I5" s="19" t="str">
        <f t="shared" si="0"/>
        <v>Wed</v>
      </c>
      <c r="J5" s="19" t="str">
        <f t="shared" si="0"/>
        <v>Thu</v>
      </c>
      <c r="K5" s="19" t="str">
        <f t="shared" si="0"/>
        <v>Fri</v>
      </c>
      <c r="L5" s="19" t="str">
        <f t="shared" si="0"/>
        <v>Sat</v>
      </c>
      <c r="M5" s="19" t="str">
        <f t="shared" si="0"/>
        <v>Sun</v>
      </c>
      <c r="N5" s="19" t="str">
        <f t="shared" si="0"/>
        <v>Mon</v>
      </c>
      <c r="O5" s="19" t="str">
        <f t="shared" si="0"/>
        <v>Tue</v>
      </c>
      <c r="P5" s="19" t="str">
        <f t="shared" si="0"/>
        <v>Wed</v>
      </c>
      <c r="Q5" s="19" t="str">
        <f t="shared" si="0"/>
        <v>Thu</v>
      </c>
      <c r="R5" s="19" t="str">
        <f t="shared" si="0"/>
        <v>Fri</v>
      </c>
      <c r="S5" s="19" t="str">
        <f t="shared" si="0"/>
        <v>Sat</v>
      </c>
      <c r="T5" s="19" t="str">
        <f t="shared" si="0"/>
        <v>Sun</v>
      </c>
      <c r="U5" s="19" t="str">
        <f t="shared" si="0"/>
        <v>Mon</v>
      </c>
      <c r="V5" s="19" t="str">
        <f t="shared" si="0"/>
        <v>Tue</v>
      </c>
      <c r="W5" s="19" t="str">
        <f t="shared" si="0"/>
        <v>Wed</v>
      </c>
      <c r="X5" s="19" t="str">
        <f t="shared" si="0"/>
        <v>Thu</v>
      </c>
      <c r="Y5" s="19" t="str">
        <f t="shared" si="0"/>
        <v>Fri</v>
      </c>
      <c r="Z5" s="19" t="str">
        <f t="shared" si="0"/>
        <v>Sat</v>
      </c>
      <c r="AA5" s="19" t="str">
        <f t="shared" si="0"/>
        <v>Sun</v>
      </c>
      <c r="AB5" s="19" t="str">
        <f t="shared" si="0"/>
        <v>Mon</v>
      </c>
      <c r="AC5" s="19" t="str">
        <f t="shared" si="0"/>
        <v>Tue</v>
      </c>
      <c r="AD5" s="19" t="str">
        <f t="shared" si="0"/>
        <v>Wed</v>
      </c>
      <c r="AE5" s="19" t="str">
        <f t="shared" si="0"/>
        <v>Thu</v>
      </c>
      <c r="AF5" s="19" t="str">
        <f t="shared" si="0"/>
        <v>Fri</v>
      </c>
      <c r="AG5" s="38" t="s">
        <v>42</v>
      </c>
      <c r="AH5" s="38" t="s">
        <v>43</v>
      </c>
      <c r="AI5" s="38" t="s">
        <v>44</v>
      </c>
      <c r="AJ5" s="38" t="s">
        <v>45</v>
      </c>
      <c r="AK5" s="38" t="s">
        <v>46</v>
      </c>
      <c r="AL5" s="38" t="s">
        <v>47</v>
      </c>
      <c r="AM5" s="38" t="s">
        <v>48</v>
      </c>
      <c r="AN5" s="38" t="s">
        <v>49</v>
      </c>
      <c r="AO5" s="38" t="s">
        <v>50</v>
      </c>
      <c r="AP5" s="38" t="s">
        <v>51</v>
      </c>
    </row>
    <row r="6" spans="1:42" ht="14.5" x14ac:dyDescent="0.35">
      <c r="A6" s="37"/>
      <c r="B6" s="20">
        <f>D2</f>
        <v>46204</v>
      </c>
      <c r="C6" s="20">
        <f t="shared" ref="C6:AF6" si="1">IF(B6&lt;$H$2,B6+1,"")</f>
        <v>46205</v>
      </c>
      <c r="D6" s="20">
        <f t="shared" si="1"/>
        <v>46206</v>
      </c>
      <c r="E6" s="20">
        <f t="shared" si="1"/>
        <v>46207</v>
      </c>
      <c r="F6" s="20">
        <f t="shared" si="1"/>
        <v>46208</v>
      </c>
      <c r="G6" s="20">
        <f t="shared" si="1"/>
        <v>46209</v>
      </c>
      <c r="H6" s="20">
        <f t="shared" si="1"/>
        <v>46210</v>
      </c>
      <c r="I6" s="20">
        <f t="shared" si="1"/>
        <v>46211</v>
      </c>
      <c r="J6" s="20">
        <f t="shared" si="1"/>
        <v>46212</v>
      </c>
      <c r="K6" s="20">
        <f t="shared" si="1"/>
        <v>46213</v>
      </c>
      <c r="L6" s="20">
        <f t="shared" si="1"/>
        <v>46214</v>
      </c>
      <c r="M6" s="20">
        <f t="shared" si="1"/>
        <v>46215</v>
      </c>
      <c r="N6" s="20">
        <f t="shared" si="1"/>
        <v>46216</v>
      </c>
      <c r="O6" s="20">
        <f t="shared" si="1"/>
        <v>46217</v>
      </c>
      <c r="P6" s="20">
        <f t="shared" si="1"/>
        <v>46218</v>
      </c>
      <c r="Q6" s="20">
        <f t="shared" si="1"/>
        <v>46219</v>
      </c>
      <c r="R6" s="20">
        <f t="shared" si="1"/>
        <v>46220</v>
      </c>
      <c r="S6" s="20">
        <f t="shared" si="1"/>
        <v>46221</v>
      </c>
      <c r="T6" s="20">
        <f t="shared" si="1"/>
        <v>46222</v>
      </c>
      <c r="U6" s="20">
        <f t="shared" si="1"/>
        <v>46223</v>
      </c>
      <c r="V6" s="20">
        <f t="shared" si="1"/>
        <v>46224</v>
      </c>
      <c r="W6" s="20">
        <f t="shared" si="1"/>
        <v>46225</v>
      </c>
      <c r="X6" s="20">
        <f t="shared" si="1"/>
        <v>46226</v>
      </c>
      <c r="Y6" s="20">
        <f t="shared" si="1"/>
        <v>46227</v>
      </c>
      <c r="Z6" s="20">
        <f t="shared" si="1"/>
        <v>46228</v>
      </c>
      <c r="AA6" s="20">
        <f t="shared" si="1"/>
        <v>46229</v>
      </c>
      <c r="AB6" s="20">
        <f t="shared" si="1"/>
        <v>46230</v>
      </c>
      <c r="AC6" s="20">
        <f t="shared" si="1"/>
        <v>46231</v>
      </c>
      <c r="AD6" s="20">
        <f t="shared" si="1"/>
        <v>46232</v>
      </c>
      <c r="AE6" s="20">
        <f t="shared" si="1"/>
        <v>46233</v>
      </c>
      <c r="AF6" s="20">
        <f t="shared" si="1"/>
        <v>46234</v>
      </c>
      <c r="AG6" s="37"/>
      <c r="AH6" s="37"/>
      <c r="AI6" s="37"/>
      <c r="AJ6" s="37"/>
      <c r="AK6" s="37"/>
      <c r="AL6" s="37"/>
      <c r="AM6" s="37"/>
      <c r="AN6" s="37"/>
      <c r="AO6" s="37"/>
      <c r="AP6" s="37"/>
    </row>
    <row r="7" spans="1:42" ht="14.5" x14ac:dyDescent="0.35">
      <c r="A7" s="21" t="s">
        <v>52</v>
      </c>
      <c r="B7" s="21" t="s">
        <v>53</v>
      </c>
      <c r="C7" s="21" t="s">
        <v>53</v>
      </c>
      <c r="D7" s="21" t="s">
        <v>53</v>
      </c>
      <c r="E7" s="21" t="s">
        <v>54</v>
      </c>
      <c r="F7" s="21" t="s">
        <v>54</v>
      </c>
      <c r="G7" s="21" t="s">
        <v>53</v>
      </c>
      <c r="H7" s="21" t="s">
        <v>53</v>
      </c>
      <c r="I7" s="21" t="s">
        <v>53</v>
      </c>
      <c r="J7" s="21" t="s">
        <v>53</v>
      </c>
      <c r="K7" s="21" t="s">
        <v>53</v>
      </c>
      <c r="L7" s="21" t="s">
        <v>54</v>
      </c>
      <c r="M7" s="21" t="s">
        <v>54</v>
      </c>
      <c r="N7" s="21" t="s">
        <v>53</v>
      </c>
      <c r="O7" s="21" t="s">
        <v>53</v>
      </c>
      <c r="P7" s="21" t="s">
        <v>53</v>
      </c>
      <c r="Q7" s="21" t="s">
        <v>53</v>
      </c>
      <c r="R7" s="21" t="s">
        <v>53</v>
      </c>
      <c r="S7" s="21" t="s">
        <v>54</v>
      </c>
      <c r="T7" s="21" t="s">
        <v>54</v>
      </c>
      <c r="U7" s="21" t="s">
        <v>53</v>
      </c>
      <c r="V7" s="21" t="s">
        <v>53</v>
      </c>
      <c r="W7" s="21" t="s">
        <v>53</v>
      </c>
      <c r="X7" s="21"/>
      <c r="Y7" s="21"/>
      <c r="Z7" s="21"/>
      <c r="AA7" s="21"/>
      <c r="AB7" s="21"/>
      <c r="AC7" s="21"/>
      <c r="AD7" s="21"/>
      <c r="AE7" s="21"/>
      <c r="AF7" s="21"/>
      <c r="AG7" s="21">
        <f t="shared" ref="AG7:AG8" si="2">(COUNTIF(C7:AF7,"P*")+(0.5*COUNTIF(C7:AF7,"*HD*")))-(COUNTIF(C7:AF7,"*PL*"))</f>
        <v>15</v>
      </c>
      <c r="AH7" s="21">
        <f t="shared" ref="AH7:AH8" si="3">COUNTIF(C7:AF7,"PL")</f>
        <v>0</v>
      </c>
      <c r="AI7" s="21">
        <f t="shared" ref="AI7:AI8" si="4">COUNTIF(C7:AF7,"UL")+(0.5*COUNTIF(C7:AF7,"*HD*"))</f>
        <v>0</v>
      </c>
      <c r="AJ7" s="21">
        <f t="shared" ref="AJ7:AJ8" si="5">COUNTIF(C7:AF7,"LOP")</f>
        <v>0</v>
      </c>
      <c r="AK7" s="21">
        <f t="shared" ref="AK7:AK42" si="6">COUNTIFS(B7:AF7,"*P*",$B$4:$AF$4,"MH")</f>
        <v>0</v>
      </c>
      <c r="AL7" s="21">
        <f t="shared" ref="AL7:AL42" si="7">COUNTIFS(B7:AF7,"*P*",$B$4:$AF$4,"OH")</f>
        <v>0</v>
      </c>
      <c r="AM7" s="21">
        <f t="shared" ref="AM7:AM42" si="8">COUNTIFS(B7:AF7,"*P*",$B$4:$AF$4,"OH")+COUNTIFS(B7:AF7,"*P*",$B$4:$AF$4,"MH")</f>
        <v>0</v>
      </c>
      <c r="AN7" s="21">
        <f t="shared" ref="AN7:AN42" si="9">COUNTIF(B7:AF7,"OH")</f>
        <v>0</v>
      </c>
      <c r="AO7" s="21">
        <f t="shared" ref="AO7:AO8" si="10">COUNTIF(C7:AF7,"*LL*")</f>
        <v>0</v>
      </c>
      <c r="AP7" s="21">
        <f t="shared" ref="AP7:AP42" si="11">COUNTIFS(B7:AF7,"*WH*",$B$4:$AF$4,"&lt;&gt;"&amp;"MH")</f>
        <v>0</v>
      </c>
    </row>
    <row r="8" spans="1:42" ht="14.5" x14ac:dyDescent="0.35">
      <c r="A8" s="21" t="s">
        <v>55</v>
      </c>
      <c r="B8" s="21" t="s">
        <v>53</v>
      </c>
      <c r="C8" s="21" t="s">
        <v>53</v>
      </c>
      <c r="D8" s="21" t="s">
        <v>53</v>
      </c>
      <c r="E8" s="21" t="s">
        <v>54</v>
      </c>
      <c r="F8" s="21" t="s">
        <v>54</v>
      </c>
      <c r="G8" s="21" t="s">
        <v>53</v>
      </c>
      <c r="H8" s="21" t="s">
        <v>53</v>
      </c>
      <c r="I8" s="21" t="s">
        <v>53</v>
      </c>
      <c r="J8" s="21" t="s">
        <v>53</v>
      </c>
      <c r="K8" s="21" t="s">
        <v>53</v>
      </c>
      <c r="L8" s="21" t="s">
        <v>54</v>
      </c>
      <c r="M8" s="21" t="s">
        <v>54</v>
      </c>
      <c r="N8" s="21" t="s">
        <v>56</v>
      </c>
      <c r="O8" s="21" t="s">
        <v>53</v>
      </c>
      <c r="P8" s="21" t="s">
        <v>53</v>
      </c>
      <c r="Q8" s="21" t="s">
        <v>53</v>
      </c>
      <c r="R8" s="21" t="s">
        <v>53</v>
      </c>
      <c r="S8" s="21" t="s">
        <v>54</v>
      </c>
      <c r="T8" s="21" t="s">
        <v>54</v>
      </c>
      <c r="U8" s="21" t="s">
        <v>19</v>
      </c>
      <c r="V8" s="21" t="s">
        <v>19</v>
      </c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>
        <f t="shared" si="2"/>
        <v>12</v>
      </c>
      <c r="AH8" s="21">
        <f t="shared" si="3"/>
        <v>0</v>
      </c>
      <c r="AI8" s="21">
        <f t="shared" si="4"/>
        <v>2</v>
      </c>
      <c r="AJ8" s="21">
        <f t="shared" si="5"/>
        <v>0</v>
      </c>
      <c r="AK8" s="21">
        <f t="shared" si="6"/>
        <v>0</v>
      </c>
      <c r="AL8" s="21">
        <f t="shared" si="7"/>
        <v>0</v>
      </c>
      <c r="AM8" s="21">
        <f t="shared" si="8"/>
        <v>0</v>
      </c>
      <c r="AN8" s="21">
        <f t="shared" si="9"/>
        <v>0</v>
      </c>
      <c r="AO8" s="21">
        <f t="shared" si="10"/>
        <v>1</v>
      </c>
      <c r="AP8" s="21">
        <f t="shared" si="11"/>
        <v>0</v>
      </c>
    </row>
    <row r="9" spans="1:42" ht="14.5" x14ac:dyDescent="0.35">
      <c r="A9" s="21" t="s">
        <v>57</v>
      </c>
      <c r="B9" s="21" t="s">
        <v>53</v>
      </c>
      <c r="C9" s="21" t="s">
        <v>53</v>
      </c>
      <c r="D9" s="21" t="s">
        <v>56</v>
      </c>
      <c r="E9" s="21" t="s">
        <v>54</v>
      </c>
      <c r="F9" s="21" t="s">
        <v>54</v>
      </c>
      <c r="G9" s="21" t="s">
        <v>56</v>
      </c>
      <c r="H9" s="21" t="s">
        <v>56</v>
      </c>
      <c r="I9" s="21" t="s">
        <v>56</v>
      </c>
      <c r="J9" s="21" t="s">
        <v>16</v>
      </c>
      <c r="K9" s="21" t="s">
        <v>16</v>
      </c>
      <c r="L9" s="21" t="s">
        <v>54</v>
      </c>
      <c r="M9" s="21" t="s">
        <v>54</v>
      </c>
      <c r="N9" s="21" t="s">
        <v>19</v>
      </c>
      <c r="O9" s="21" t="s">
        <v>53</v>
      </c>
      <c r="P9" s="21" t="s">
        <v>54</v>
      </c>
      <c r="Q9" s="21" t="s">
        <v>54</v>
      </c>
      <c r="R9" s="21" t="s">
        <v>53</v>
      </c>
      <c r="S9" s="21" t="s">
        <v>53</v>
      </c>
      <c r="T9" s="21" t="s">
        <v>53</v>
      </c>
      <c r="U9" s="21" t="s">
        <v>56</v>
      </c>
      <c r="V9" s="21" t="s">
        <v>53</v>
      </c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>
        <f t="shared" ref="AG9:AG42" si="12">(COUNTIF(B9:AF9,"P*")+(0.5*COUNTIF(B9:AF9,"*HD*")))-(COUNTIF(B9:AF9,"*PL*"))</f>
        <v>12</v>
      </c>
      <c r="AH9" s="21">
        <f t="shared" ref="AH9:AH42" si="13">COUNTIF(B9:AF9,"PL")</f>
        <v>2</v>
      </c>
      <c r="AI9" s="21">
        <f t="shared" ref="AI9:AI42" si="14">COUNTIF(B9:AF9,"UL")+(0.5*COUNTIF(B9:AF9,"*HD*"))</f>
        <v>1</v>
      </c>
      <c r="AJ9" s="21">
        <f t="shared" ref="AJ9:AJ42" si="15">COUNTIF(B9:AF9,"LOP")</f>
        <v>0</v>
      </c>
      <c r="AK9" s="21">
        <f t="shared" si="6"/>
        <v>0</v>
      </c>
      <c r="AL9" s="21">
        <f t="shared" si="7"/>
        <v>0</v>
      </c>
      <c r="AM9" s="21">
        <f t="shared" si="8"/>
        <v>0</v>
      </c>
      <c r="AN9" s="21">
        <f t="shared" si="9"/>
        <v>0</v>
      </c>
      <c r="AO9" s="21">
        <f t="shared" ref="AO9:AO42" si="16">COUNTIF(B9:AF9,"*LL*")</f>
        <v>5</v>
      </c>
      <c r="AP9" s="21">
        <f t="shared" si="11"/>
        <v>0</v>
      </c>
    </row>
    <row r="10" spans="1:42" ht="14.5" x14ac:dyDescent="0.35">
      <c r="A10" s="21" t="s">
        <v>58</v>
      </c>
      <c r="B10" s="21" t="s">
        <v>56</v>
      </c>
      <c r="C10" s="21" t="s">
        <v>56</v>
      </c>
      <c r="D10" s="21" t="s">
        <v>53</v>
      </c>
      <c r="E10" s="21" t="s">
        <v>54</v>
      </c>
      <c r="F10" s="21" t="s">
        <v>54</v>
      </c>
      <c r="G10" s="21" t="s">
        <v>56</v>
      </c>
      <c r="H10" s="21" t="s">
        <v>56</v>
      </c>
      <c r="I10" s="21" t="s">
        <v>53</v>
      </c>
      <c r="J10" s="21" t="s">
        <v>53</v>
      </c>
      <c r="K10" s="21" t="s">
        <v>53</v>
      </c>
      <c r="L10" s="21" t="s">
        <v>54</v>
      </c>
      <c r="M10" s="21" t="s">
        <v>54</v>
      </c>
      <c r="N10" s="21" t="s">
        <v>56</v>
      </c>
      <c r="O10" s="21" t="s">
        <v>53</v>
      </c>
      <c r="P10" s="21" t="s">
        <v>53</v>
      </c>
      <c r="Q10" s="21" t="s">
        <v>19</v>
      </c>
      <c r="R10" s="21" t="s">
        <v>53</v>
      </c>
      <c r="S10" s="21" t="s">
        <v>54</v>
      </c>
      <c r="T10" s="21" t="s">
        <v>54</v>
      </c>
      <c r="U10" s="21" t="s">
        <v>53</v>
      </c>
      <c r="V10" s="21" t="s">
        <v>53</v>
      </c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>
        <f t="shared" si="12"/>
        <v>14</v>
      </c>
      <c r="AH10" s="21">
        <f t="shared" si="13"/>
        <v>0</v>
      </c>
      <c r="AI10" s="21">
        <f t="shared" si="14"/>
        <v>1</v>
      </c>
      <c r="AJ10" s="21">
        <f t="shared" si="15"/>
        <v>0</v>
      </c>
      <c r="AK10" s="21">
        <f t="shared" si="6"/>
        <v>0</v>
      </c>
      <c r="AL10" s="21">
        <f t="shared" si="7"/>
        <v>0</v>
      </c>
      <c r="AM10" s="21">
        <f t="shared" si="8"/>
        <v>0</v>
      </c>
      <c r="AN10" s="21">
        <f t="shared" si="9"/>
        <v>0</v>
      </c>
      <c r="AO10" s="21">
        <f t="shared" si="16"/>
        <v>5</v>
      </c>
      <c r="AP10" s="21">
        <f t="shared" si="11"/>
        <v>0</v>
      </c>
    </row>
    <row r="11" spans="1:42" ht="14.5" x14ac:dyDescent="0.35">
      <c r="A11" s="21" t="s">
        <v>59</v>
      </c>
      <c r="B11" s="21" t="s">
        <v>54</v>
      </c>
      <c r="C11" s="21" t="s">
        <v>53</v>
      </c>
      <c r="D11" s="21" t="s">
        <v>53</v>
      </c>
      <c r="E11" s="21" t="s">
        <v>56</v>
      </c>
      <c r="F11" s="21" t="s">
        <v>56</v>
      </c>
      <c r="G11" s="21" t="s">
        <v>56</v>
      </c>
      <c r="H11" s="21" t="s">
        <v>54</v>
      </c>
      <c r="I11" s="21" t="s">
        <v>54</v>
      </c>
      <c r="J11" s="21" t="s">
        <v>19</v>
      </c>
      <c r="K11" s="21" t="s">
        <v>53</v>
      </c>
      <c r="L11" s="21" t="s">
        <v>53</v>
      </c>
      <c r="M11" s="21" t="s">
        <v>53</v>
      </c>
      <c r="N11" s="21" t="s">
        <v>54</v>
      </c>
      <c r="O11" s="21" t="s">
        <v>53</v>
      </c>
      <c r="P11" s="21" t="s">
        <v>53</v>
      </c>
      <c r="Q11" s="21" t="s">
        <v>53</v>
      </c>
      <c r="R11" s="21" t="s">
        <v>53</v>
      </c>
      <c r="S11" s="21" t="s">
        <v>54</v>
      </c>
      <c r="T11" s="21" t="s">
        <v>53</v>
      </c>
      <c r="U11" s="21" t="s">
        <v>56</v>
      </c>
      <c r="V11" s="21" t="s">
        <v>53</v>
      </c>
      <c r="W11" s="21" t="s">
        <v>53</v>
      </c>
      <c r="X11" s="21"/>
      <c r="Y11" s="21"/>
      <c r="Z11" s="21"/>
      <c r="AA11" s="21"/>
      <c r="AB11" s="21"/>
      <c r="AC11" s="21"/>
      <c r="AD11" s="21"/>
      <c r="AE11" s="21"/>
      <c r="AF11" s="21"/>
      <c r="AG11" s="21">
        <f t="shared" si="12"/>
        <v>16</v>
      </c>
      <c r="AH11" s="21">
        <f t="shared" si="13"/>
        <v>0</v>
      </c>
      <c r="AI11" s="21">
        <f t="shared" si="14"/>
        <v>1</v>
      </c>
      <c r="AJ11" s="21">
        <f t="shared" si="15"/>
        <v>0</v>
      </c>
      <c r="AK11" s="21">
        <f t="shared" si="6"/>
        <v>0</v>
      </c>
      <c r="AL11" s="21">
        <f t="shared" si="7"/>
        <v>0</v>
      </c>
      <c r="AM11" s="21">
        <f t="shared" si="8"/>
        <v>0</v>
      </c>
      <c r="AN11" s="21">
        <f t="shared" si="9"/>
        <v>0</v>
      </c>
      <c r="AO11" s="21">
        <f t="shared" si="16"/>
        <v>4</v>
      </c>
      <c r="AP11" s="21">
        <f t="shared" si="11"/>
        <v>0</v>
      </c>
    </row>
    <row r="12" spans="1:42" ht="14.5" x14ac:dyDescent="0.35">
      <c r="A12" s="21" t="s">
        <v>60</v>
      </c>
      <c r="B12" s="21" t="s">
        <v>54</v>
      </c>
      <c r="C12" s="21" t="s">
        <v>54</v>
      </c>
      <c r="D12" s="21" t="s">
        <v>56</v>
      </c>
      <c r="E12" s="21" t="s">
        <v>56</v>
      </c>
      <c r="F12" s="21" t="s">
        <v>56</v>
      </c>
      <c r="G12" s="21" t="s">
        <v>56</v>
      </c>
      <c r="H12" s="21" t="s">
        <v>19</v>
      </c>
      <c r="I12" s="21" t="s">
        <v>54</v>
      </c>
      <c r="J12" s="21" t="s">
        <v>54</v>
      </c>
      <c r="K12" s="21" t="s">
        <v>56</v>
      </c>
      <c r="L12" s="21" t="s">
        <v>53</v>
      </c>
      <c r="M12" s="21" t="s">
        <v>56</v>
      </c>
      <c r="N12" s="21" t="s">
        <v>53</v>
      </c>
      <c r="O12" s="21" t="s">
        <v>53</v>
      </c>
      <c r="P12" s="21" t="s">
        <v>53</v>
      </c>
      <c r="Q12" s="21" t="s">
        <v>56</v>
      </c>
      <c r="R12" s="21" t="s">
        <v>53</v>
      </c>
      <c r="S12" s="21" t="s">
        <v>54</v>
      </c>
      <c r="T12" s="21" t="s">
        <v>54</v>
      </c>
      <c r="U12" s="21" t="s">
        <v>56</v>
      </c>
      <c r="V12" s="21" t="s">
        <v>56</v>
      </c>
      <c r="W12" s="21" t="s">
        <v>53</v>
      </c>
      <c r="X12" s="21"/>
      <c r="Y12" s="21"/>
      <c r="Z12" s="21"/>
      <c r="AA12" s="21"/>
      <c r="AB12" s="21"/>
      <c r="AC12" s="21"/>
      <c r="AD12" s="21"/>
      <c r="AE12" s="21"/>
      <c r="AF12" s="21"/>
      <c r="AG12" s="21">
        <f t="shared" si="12"/>
        <v>15</v>
      </c>
      <c r="AH12" s="21">
        <f t="shared" si="13"/>
        <v>0</v>
      </c>
      <c r="AI12" s="21">
        <f t="shared" si="14"/>
        <v>1</v>
      </c>
      <c r="AJ12" s="21">
        <f t="shared" si="15"/>
        <v>0</v>
      </c>
      <c r="AK12" s="21">
        <f t="shared" si="6"/>
        <v>0</v>
      </c>
      <c r="AL12" s="21">
        <f t="shared" si="7"/>
        <v>0</v>
      </c>
      <c r="AM12" s="21">
        <f t="shared" si="8"/>
        <v>0</v>
      </c>
      <c r="AN12" s="21">
        <f t="shared" si="9"/>
        <v>0</v>
      </c>
      <c r="AO12" s="21">
        <f t="shared" si="16"/>
        <v>9</v>
      </c>
      <c r="AP12" s="21">
        <f t="shared" si="11"/>
        <v>0</v>
      </c>
    </row>
    <row r="13" spans="1:42" ht="14.5" x14ac:dyDescent="0.35">
      <c r="A13" s="21" t="s">
        <v>61</v>
      </c>
      <c r="B13" s="21" t="s">
        <v>56</v>
      </c>
      <c r="C13" s="21" t="s">
        <v>53</v>
      </c>
      <c r="D13" s="21" t="s">
        <v>53</v>
      </c>
      <c r="E13" s="21" t="s">
        <v>54</v>
      </c>
      <c r="F13" s="21" t="s">
        <v>54</v>
      </c>
      <c r="G13" s="21" t="s">
        <v>62</v>
      </c>
      <c r="H13" s="21" t="s">
        <v>62</v>
      </c>
      <c r="I13" s="21" t="s">
        <v>62</v>
      </c>
      <c r="J13" s="21" t="s">
        <v>53</v>
      </c>
      <c r="K13" s="21" t="s">
        <v>56</v>
      </c>
      <c r="L13" s="21" t="s">
        <v>54</v>
      </c>
      <c r="M13" s="21" t="s">
        <v>54</v>
      </c>
      <c r="N13" s="21" t="s">
        <v>56</v>
      </c>
      <c r="O13" s="21" t="s">
        <v>53</v>
      </c>
      <c r="P13" s="21" t="s">
        <v>53</v>
      </c>
      <c r="Q13" s="21" t="s">
        <v>56</v>
      </c>
      <c r="R13" s="21" t="s">
        <v>53</v>
      </c>
      <c r="S13" s="21" t="s">
        <v>54</v>
      </c>
      <c r="T13" s="21" t="s">
        <v>54</v>
      </c>
      <c r="U13" s="21" t="s">
        <v>53</v>
      </c>
      <c r="V13" s="21" t="s">
        <v>53</v>
      </c>
      <c r="W13" s="21" t="s">
        <v>53</v>
      </c>
      <c r="X13" s="21"/>
      <c r="Y13" s="21"/>
      <c r="Z13" s="21"/>
      <c r="AA13" s="21"/>
      <c r="AB13" s="21"/>
      <c r="AC13" s="21"/>
      <c r="AD13" s="21"/>
      <c r="AE13" s="21"/>
      <c r="AF13" s="21"/>
      <c r="AG13" s="21">
        <f t="shared" si="12"/>
        <v>16</v>
      </c>
      <c r="AH13" s="21">
        <f t="shared" si="13"/>
        <v>0</v>
      </c>
      <c r="AI13" s="21">
        <f t="shared" si="14"/>
        <v>0</v>
      </c>
      <c r="AJ13" s="21">
        <f t="shared" si="15"/>
        <v>0</v>
      </c>
      <c r="AK13" s="21">
        <f t="shared" si="6"/>
        <v>0</v>
      </c>
      <c r="AL13" s="21">
        <f t="shared" si="7"/>
        <v>0</v>
      </c>
      <c r="AM13" s="21">
        <f t="shared" si="8"/>
        <v>0</v>
      </c>
      <c r="AN13" s="21">
        <f t="shared" si="9"/>
        <v>0</v>
      </c>
      <c r="AO13" s="21">
        <f t="shared" si="16"/>
        <v>4</v>
      </c>
      <c r="AP13" s="21">
        <f t="shared" si="11"/>
        <v>3</v>
      </c>
    </row>
    <row r="14" spans="1:42" ht="14.5" hidden="1" x14ac:dyDescent="0.35">
      <c r="A14" s="22" t="s">
        <v>63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>
        <f t="shared" si="12"/>
        <v>0</v>
      </c>
      <c r="AH14" s="21">
        <f t="shared" si="13"/>
        <v>0</v>
      </c>
      <c r="AI14" s="21">
        <f t="shared" si="14"/>
        <v>0</v>
      </c>
      <c r="AJ14" s="21">
        <f t="shared" si="15"/>
        <v>0</v>
      </c>
      <c r="AK14" s="21">
        <f t="shared" si="6"/>
        <v>0</v>
      </c>
      <c r="AL14" s="21">
        <f t="shared" si="7"/>
        <v>0</v>
      </c>
      <c r="AM14" s="21">
        <f t="shared" si="8"/>
        <v>0</v>
      </c>
      <c r="AN14" s="21">
        <f t="shared" si="9"/>
        <v>0</v>
      </c>
      <c r="AO14" s="21">
        <f t="shared" si="16"/>
        <v>0</v>
      </c>
      <c r="AP14" s="21">
        <f t="shared" si="11"/>
        <v>0</v>
      </c>
    </row>
    <row r="15" spans="1:42" ht="14.5" x14ac:dyDescent="0.35">
      <c r="A15" s="21" t="s">
        <v>64</v>
      </c>
      <c r="B15" s="21" t="s">
        <v>56</v>
      </c>
      <c r="C15" s="21" t="s">
        <v>53</v>
      </c>
      <c r="D15" s="21" t="s">
        <v>56</v>
      </c>
      <c r="E15" s="21" t="s">
        <v>54</v>
      </c>
      <c r="F15" s="21" t="s">
        <v>54</v>
      </c>
      <c r="G15" s="21" t="s">
        <v>53</v>
      </c>
      <c r="H15" s="21" t="s">
        <v>53</v>
      </c>
      <c r="I15" s="21" t="s">
        <v>53</v>
      </c>
      <c r="J15" s="21" t="s">
        <v>53</v>
      </c>
      <c r="K15" s="21" t="s">
        <v>53</v>
      </c>
      <c r="L15" s="21" t="s">
        <v>54</v>
      </c>
      <c r="M15" s="21" t="s">
        <v>54</v>
      </c>
      <c r="N15" s="21" t="s">
        <v>54</v>
      </c>
      <c r="O15" s="21" t="s">
        <v>54</v>
      </c>
      <c r="P15" s="21" t="s">
        <v>56</v>
      </c>
      <c r="Q15" s="21" t="s">
        <v>53</v>
      </c>
      <c r="R15" s="21" t="s">
        <v>53</v>
      </c>
      <c r="S15" s="21" t="s">
        <v>53</v>
      </c>
      <c r="T15" s="21" t="s">
        <v>56</v>
      </c>
      <c r="U15" s="21" t="s">
        <v>54</v>
      </c>
      <c r="V15" s="21" t="s">
        <v>54</v>
      </c>
      <c r="W15" s="21" t="s">
        <v>56</v>
      </c>
      <c r="X15" s="21"/>
      <c r="Y15" s="21"/>
      <c r="Z15" s="21"/>
      <c r="AA15" s="21"/>
      <c r="AB15" s="21"/>
      <c r="AC15" s="21"/>
      <c r="AD15" s="21"/>
      <c r="AE15" s="21"/>
      <c r="AF15" s="21"/>
      <c r="AG15" s="21">
        <f t="shared" si="12"/>
        <v>14</v>
      </c>
      <c r="AH15" s="21">
        <f t="shared" si="13"/>
        <v>0</v>
      </c>
      <c r="AI15" s="21">
        <f t="shared" si="14"/>
        <v>0</v>
      </c>
      <c r="AJ15" s="21">
        <f t="shared" si="15"/>
        <v>0</v>
      </c>
      <c r="AK15" s="21">
        <f t="shared" si="6"/>
        <v>0</v>
      </c>
      <c r="AL15" s="21">
        <f t="shared" si="7"/>
        <v>0</v>
      </c>
      <c r="AM15" s="21">
        <f t="shared" si="8"/>
        <v>0</v>
      </c>
      <c r="AN15" s="21">
        <f t="shared" si="9"/>
        <v>0</v>
      </c>
      <c r="AO15" s="21">
        <f t="shared" si="16"/>
        <v>5</v>
      </c>
      <c r="AP15" s="21">
        <f t="shared" si="11"/>
        <v>0</v>
      </c>
    </row>
    <row r="16" spans="1:42" ht="14.5" x14ac:dyDescent="0.35">
      <c r="A16" s="21" t="s">
        <v>65</v>
      </c>
      <c r="B16" s="21" t="s">
        <v>53</v>
      </c>
      <c r="C16" s="21" t="s">
        <v>53</v>
      </c>
      <c r="D16" s="21" t="s">
        <v>56</v>
      </c>
      <c r="E16" s="21" t="s">
        <v>54</v>
      </c>
      <c r="F16" s="21" t="s">
        <v>54</v>
      </c>
      <c r="G16" s="21" t="s">
        <v>19</v>
      </c>
      <c r="H16" s="21" t="s">
        <v>19</v>
      </c>
      <c r="I16" s="21" t="s">
        <v>62</v>
      </c>
      <c r="J16" s="21" t="s">
        <v>53</v>
      </c>
      <c r="K16" s="21" t="s">
        <v>53</v>
      </c>
      <c r="L16" s="21" t="s">
        <v>54</v>
      </c>
      <c r="M16" s="21" t="s">
        <v>54</v>
      </c>
      <c r="N16" s="21" t="s">
        <v>16</v>
      </c>
      <c r="O16" s="21" t="s">
        <v>16</v>
      </c>
      <c r="P16" s="21" t="s">
        <v>54</v>
      </c>
      <c r="Q16" s="21" t="s">
        <v>54</v>
      </c>
      <c r="R16" s="21" t="s">
        <v>16</v>
      </c>
      <c r="S16" s="21" t="s">
        <v>53</v>
      </c>
      <c r="T16" s="21" t="s">
        <v>53</v>
      </c>
      <c r="U16" s="21" t="s">
        <v>53</v>
      </c>
      <c r="V16" s="21" t="s">
        <v>53</v>
      </c>
      <c r="W16" s="21" t="s">
        <v>54</v>
      </c>
      <c r="X16" s="21" t="s">
        <v>54</v>
      </c>
      <c r="Y16" s="21"/>
      <c r="Z16" s="21"/>
      <c r="AA16" s="21"/>
      <c r="AB16" s="21"/>
      <c r="AC16" s="21"/>
      <c r="AD16" s="21"/>
      <c r="AE16" s="21"/>
      <c r="AF16" s="21"/>
      <c r="AG16" s="21">
        <f t="shared" si="12"/>
        <v>10</v>
      </c>
      <c r="AH16" s="21">
        <f t="shared" si="13"/>
        <v>3</v>
      </c>
      <c r="AI16" s="21">
        <f t="shared" si="14"/>
        <v>2</v>
      </c>
      <c r="AJ16" s="21">
        <f t="shared" si="15"/>
        <v>0</v>
      </c>
      <c r="AK16" s="21">
        <f t="shared" si="6"/>
        <v>0</v>
      </c>
      <c r="AL16" s="21">
        <f t="shared" si="7"/>
        <v>0</v>
      </c>
      <c r="AM16" s="21">
        <f t="shared" si="8"/>
        <v>0</v>
      </c>
      <c r="AN16" s="21">
        <f t="shared" si="9"/>
        <v>0</v>
      </c>
      <c r="AO16" s="21">
        <f t="shared" si="16"/>
        <v>1</v>
      </c>
      <c r="AP16" s="21">
        <f t="shared" si="11"/>
        <v>1</v>
      </c>
    </row>
    <row r="17" spans="1:42" ht="14.5" x14ac:dyDescent="0.35">
      <c r="A17" s="21" t="s">
        <v>66</v>
      </c>
      <c r="B17" s="21" t="s">
        <v>67</v>
      </c>
      <c r="C17" s="21" t="s">
        <v>67</v>
      </c>
      <c r="D17" s="21" t="s">
        <v>67</v>
      </c>
      <c r="E17" s="21" t="s">
        <v>54</v>
      </c>
      <c r="F17" s="21" t="s">
        <v>54</v>
      </c>
      <c r="G17" s="21" t="s">
        <v>67</v>
      </c>
      <c r="H17" s="21" t="s">
        <v>67</v>
      </c>
      <c r="I17" s="21" t="s">
        <v>67</v>
      </c>
      <c r="J17" s="21" t="s">
        <v>67</v>
      </c>
      <c r="K17" s="21" t="s">
        <v>67</v>
      </c>
      <c r="L17" s="21" t="s">
        <v>54</v>
      </c>
      <c r="M17" s="21" t="s">
        <v>54</v>
      </c>
      <c r="N17" s="21" t="s">
        <v>67</v>
      </c>
      <c r="O17" s="21" t="s">
        <v>67</v>
      </c>
      <c r="P17" s="21" t="s">
        <v>67</v>
      </c>
      <c r="Q17" s="21" t="s">
        <v>67</v>
      </c>
      <c r="R17" s="21" t="s">
        <v>67</v>
      </c>
      <c r="S17" s="21" t="s">
        <v>54</v>
      </c>
      <c r="T17" s="21" t="s">
        <v>54</v>
      </c>
      <c r="U17" s="21" t="s">
        <v>67</v>
      </c>
      <c r="V17" s="21" t="s">
        <v>67</v>
      </c>
      <c r="W17" s="21" t="s">
        <v>67</v>
      </c>
      <c r="X17" s="21" t="s">
        <v>67</v>
      </c>
      <c r="Y17" s="21" t="s">
        <v>67</v>
      </c>
      <c r="Z17" s="21" t="s">
        <v>54</v>
      </c>
      <c r="AA17" s="21" t="s">
        <v>54</v>
      </c>
      <c r="AB17" s="21" t="s">
        <v>67</v>
      </c>
      <c r="AC17" s="21" t="s">
        <v>67</v>
      </c>
      <c r="AD17" s="21" t="s">
        <v>67</v>
      </c>
      <c r="AE17" s="21" t="s">
        <v>67</v>
      </c>
      <c r="AF17" s="21" t="s">
        <v>67</v>
      </c>
      <c r="AG17" s="21">
        <f t="shared" si="12"/>
        <v>0</v>
      </c>
      <c r="AH17" s="21">
        <f t="shared" si="13"/>
        <v>0</v>
      </c>
      <c r="AI17" s="21">
        <f t="shared" si="14"/>
        <v>0</v>
      </c>
      <c r="AJ17" s="21">
        <f t="shared" si="15"/>
        <v>0</v>
      </c>
      <c r="AK17" s="21">
        <f t="shared" si="6"/>
        <v>0</v>
      </c>
      <c r="AL17" s="21">
        <f t="shared" si="7"/>
        <v>0</v>
      </c>
      <c r="AM17" s="21">
        <f t="shared" si="8"/>
        <v>0</v>
      </c>
      <c r="AN17" s="21">
        <f t="shared" si="9"/>
        <v>0</v>
      </c>
      <c r="AO17" s="21">
        <f t="shared" si="16"/>
        <v>0</v>
      </c>
      <c r="AP17" s="21">
        <f t="shared" si="11"/>
        <v>0</v>
      </c>
    </row>
    <row r="18" spans="1:42" ht="14.5" x14ac:dyDescent="0.35">
      <c r="A18" s="21" t="s">
        <v>68</v>
      </c>
      <c r="B18" s="21" t="s">
        <v>53</v>
      </c>
      <c r="C18" s="21" t="s">
        <v>53</v>
      </c>
      <c r="D18" s="21" t="s">
        <v>53</v>
      </c>
      <c r="E18" s="21" t="s">
        <v>54</v>
      </c>
      <c r="F18" s="21" t="s">
        <v>54</v>
      </c>
      <c r="G18" s="21" t="s">
        <v>53</v>
      </c>
      <c r="H18" s="21" t="s">
        <v>56</v>
      </c>
      <c r="I18" s="21" t="s">
        <v>56</v>
      </c>
      <c r="J18" s="21" t="s">
        <v>53</v>
      </c>
      <c r="K18" s="21" t="s">
        <v>53</v>
      </c>
      <c r="L18" s="21" t="s">
        <v>54</v>
      </c>
      <c r="M18" s="21" t="s">
        <v>54</v>
      </c>
      <c r="N18" s="21" t="s">
        <v>19</v>
      </c>
      <c r="O18" s="21" t="s">
        <v>53</v>
      </c>
      <c r="P18" s="21" t="s">
        <v>53</v>
      </c>
      <c r="Q18" s="21" t="s">
        <v>54</v>
      </c>
      <c r="R18" s="21" t="s">
        <v>54</v>
      </c>
      <c r="S18" s="21" t="s">
        <v>53</v>
      </c>
      <c r="T18" s="21" t="s">
        <v>53</v>
      </c>
      <c r="U18" s="21" t="s">
        <v>62</v>
      </c>
      <c r="V18" s="21" t="s">
        <v>53</v>
      </c>
      <c r="W18" s="21" t="s">
        <v>56</v>
      </c>
      <c r="X18" s="21"/>
      <c r="Y18" s="21"/>
      <c r="Z18" s="21"/>
      <c r="AA18" s="21"/>
      <c r="AB18" s="21"/>
      <c r="AC18" s="21"/>
      <c r="AD18" s="21"/>
      <c r="AE18" s="21"/>
      <c r="AF18" s="21"/>
      <c r="AG18" s="21">
        <f t="shared" si="12"/>
        <v>15</v>
      </c>
      <c r="AH18" s="21">
        <f t="shared" si="13"/>
        <v>0</v>
      </c>
      <c r="AI18" s="21">
        <f t="shared" si="14"/>
        <v>1</v>
      </c>
      <c r="AJ18" s="21">
        <f t="shared" si="15"/>
        <v>0</v>
      </c>
      <c r="AK18" s="21">
        <f t="shared" si="6"/>
        <v>0</v>
      </c>
      <c r="AL18" s="21">
        <f t="shared" si="7"/>
        <v>0</v>
      </c>
      <c r="AM18" s="21">
        <f t="shared" si="8"/>
        <v>0</v>
      </c>
      <c r="AN18" s="21">
        <f t="shared" si="9"/>
        <v>0</v>
      </c>
      <c r="AO18" s="21">
        <f t="shared" si="16"/>
        <v>3</v>
      </c>
      <c r="AP18" s="21">
        <f t="shared" si="11"/>
        <v>1</v>
      </c>
    </row>
    <row r="19" spans="1:42" ht="14.5" x14ac:dyDescent="0.35">
      <c r="A19" s="21" t="s">
        <v>69</v>
      </c>
      <c r="B19" s="21" t="s">
        <v>53</v>
      </c>
      <c r="C19" s="21" t="s">
        <v>53</v>
      </c>
      <c r="D19" s="21" t="s">
        <v>53</v>
      </c>
      <c r="E19" s="21" t="s">
        <v>54</v>
      </c>
      <c r="F19" s="21" t="s">
        <v>54</v>
      </c>
      <c r="G19" s="21" t="s">
        <v>53</v>
      </c>
      <c r="H19" s="21" t="s">
        <v>53</v>
      </c>
      <c r="I19" s="21" t="s">
        <v>53</v>
      </c>
      <c r="J19" s="21" t="s">
        <v>53</v>
      </c>
      <c r="K19" s="21" t="s">
        <v>53</v>
      </c>
      <c r="L19" s="21" t="s">
        <v>54</v>
      </c>
      <c r="M19" s="21" t="s">
        <v>54</v>
      </c>
      <c r="N19" s="21" t="s">
        <v>53</v>
      </c>
      <c r="O19" s="21" t="s">
        <v>53</v>
      </c>
      <c r="P19" s="21" t="s">
        <v>53</v>
      </c>
      <c r="Q19" s="21" t="s">
        <v>54</v>
      </c>
      <c r="R19" s="21" t="s">
        <v>54</v>
      </c>
      <c r="S19" s="21" t="s">
        <v>53</v>
      </c>
      <c r="T19" s="21" t="s">
        <v>56</v>
      </c>
      <c r="U19" s="21" t="s">
        <v>53</v>
      </c>
      <c r="V19" s="21" t="s">
        <v>53</v>
      </c>
      <c r="W19" s="21" t="s">
        <v>56</v>
      </c>
      <c r="X19" s="21"/>
      <c r="Y19" s="21"/>
      <c r="Z19" s="21"/>
      <c r="AA19" s="21"/>
      <c r="AB19" s="21"/>
      <c r="AC19" s="21"/>
      <c r="AD19" s="21"/>
      <c r="AE19" s="21"/>
      <c r="AF19" s="21"/>
      <c r="AG19" s="21">
        <f t="shared" si="12"/>
        <v>16</v>
      </c>
      <c r="AH19" s="21">
        <f t="shared" si="13"/>
        <v>0</v>
      </c>
      <c r="AI19" s="21">
        <f t="shared" si="14"/>
        <v>0</v>
      </c>
      <c r="AJ19" s="21">
        <f t="shared" si="15"/>
        <v>0</v>
      </c>
      <c r="AK19" s="21">
        <f t="shared" si="6"/>
        <v>0</v>
      </c>
      <c r="AL19" s="21">
        <f t="shared" si="7"/>
        <v>0</v>
      </c>
      <c r="AM19" s="21">
        <f t="shared" si="8"/>
        <v>0</v>
      </c>
      <c r="AN19" s="21">
        <f t="shared" si="9"/>
        <v>0</v>
      </c>
      <c r="AO19" s="21">
        <f t="shared" si="16"/>
        <v>2</v>
      </c>
      <c r="AP19" s="21">
        <f t="shared" si="11"/>
        <v>0</v>
      </c>
    </row>
    <row r="20" spans="1:42" ht="14.5" hidden="1" x14ac:dyDescent="0.35">
      <c r="A20" s="21" t="s">
        <v>70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>
        <f t="shared" si="12"/>
        <v>0</v>
      </c>
      <c r="AH20" s="21">
        <f t="shared" si="13"/>
        <v>0</v>
      </c>
      <c r="AI20" s="21">
        <f t="shared" si="14"/>
        <v>0</v>
      </c>
      <c r="AJ20" s="21">
        <f t="shared" si="15"/>
        <v>0</v>
      </c>
      <c r="AK20" s="21">
        <f t="shared" si="6"/>
        <v>0</v>
      </c>
      <c r="AL20" s="21">
        <f t="shared" si="7"/>
        <v>0</v>
      </c>
      <c r="AM20" s="21">
        <f t="shared" si="8"/>
        <v>0</v>
      </c>
      <c r="AN20" s="21">
        <f t="shared" si="9"/>
        <v>0</v>
      </c>
      <c r="AO20" s="21">
        <f t="shared" si="16"/>
        <v>0</v>
      </c>
      <c r="AP20" s="21">
        <f t="shared" si="11"/>
        <v>0</v>
      </c>
    </row>
    <row r="21" spans="1:42" ht="14.5" hidden="1" x14ac:dyDescent="0.35">
      <c r="A21" s="22" t="s">
        <v>71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>
        <f t="shared" si="12"/>
        <v>0</v>
      </c>
      <c r="AH21" s="21">
        <f t="shared" si="13"/>
        <v>0</v>
      </c>
      <c r="AI21" s="21">
        <f t="shared" si="14"/>
        <v>0</v>
      </c>
      <c r="AJ21" s="21">
        <f t="shared" si="15"/>
        <v>0</v>
      </c>
      <c r="AK21" s="21">
        <f t="shared" si="6"/>
        <v>0</v>
      </c>
      <c r="AL21" s="21">
        <f t="shared" si="7"/>
        <v>0</v>
      </c>
      <c r="AM21" s="21">
        <f t="shared" si="8"/>
        <v>0</v>
      </c>
      <c r="AN21" s="21">
        <f t="shared" si="9"/>
        <v>0</v>
      </c>
      <c r="AO21" s="21">
        <f t="shared" si="16"/>
        <v>0</v>
      </c>
      <c r="AP21" s="21">
        <f t="shared" si="11"/>
        <v>0</v>
      </c>
    </row>
    <row r="22" spans="1:42" ht="14.5" x14ac:dyDescent="0.35">
      <c r="A22" s="21" t="s">
        <v>72</v>
      </c>
      <c r="B22" s="21" t="s">
        <v>53</v>
      </c>
      <c r="C22" s="21" t="s">
        <v>56</v>
      </c>
      <c r="D22" s="21" t="s">
        <v>53</v>
      </c>
      <c r="E22" s="21" t="s">
        <v>54</v>
      </c>
      <c r="F22" s="21" t="s">
        <v>54</v>
      </c>
      <c r="G22" s="21" t="s">
        <v>53</v>
      </c>
      <c r="H22" s="21" t="s">
        <v>53</v>
      </c>
      <c r="I22" s="21" t="s">
        <v>53</v>
      </c>
      <c r="J22" s="21" t="s">
        <v>53</v>
      </c>
      <c r="K22" s="21" t="s">
        <v>53</v>
      </c>
      <c r="L22" s="21" t="s">
        <v>54</v>
      </c>
      <c r="M22" s="21" t="s">
        <v>54</v>
      </c>
      <c r="N22" s="21" t="s">
        <v>54</v>
      </c>
      <c r="O22" s="21" t="s">
        <v>54</v>
      </c>
      <c r="P22" s="21" t="s">
        <v>53</v>
      </c>
      <c r="Q22" s="21" t="s">
        <v>53</v>
      </c>
      <c r="R22" s="21" t="s">
        <v>53</v>
      </c>
      <c r="S22" s="21" t="s">
        <v>16</v>
      </c>
      <c r="T22" s="21" t="s">
        <v>16</v>
      </c>
      <c r="U22" s="21" t="s">
        <v>54</v>
      </c>
      <c r="V22" s="21" t="s">
        <v>54</v>
      </c>
      <c r="W22" s="21" t="s">
        <v>56</v>
      </c>
      <c r="X22" s="21"/>
      <c r="Y22" s="21"/>
      <c r="Z22" s="21"/>
      <c r="AA22" s="21"/>
      <c r="AB22" s="21"/>
      <c r="AC22" s="21"/>
      <c r="AD22" s="21"/>
      <c r="AE22" s="21"/>
      <c r="AF22" s="21"/>
      <c r="AG22" s="21">
        <f t="shared" si="12"/>
        <v>12</v>
      </c>
      <c r="AH22" s="21">
        <f t="shared" si="13"/>
        <v>2</v>
      </c>
      <c r="AI22" s="21">
        <f t="shared" si="14"/>
        <v>0</v>
      </c>
      <c r="AJ22" s="21">
        <f t="shared" si="15"/>
        <v>0</v>
      </c>
      <c r="AK22" s="21">
        <f t="shared" si="6"/>
        <v>0</v>
      </c>
      <c r="AL22" s="21">
        <f t="shared" si="7"/>
        <v>0</v>
      </c>
      <c r="AM22" s="21">
        <f t="shared" si="8"/>
        <v>0</v>
      </c>
      <c r="AN22" s="21">
        <f t="shared" si="9"/>
        <v>0</v>
      </c>
      <c r="AO22" s="21">
        <f t="shared" si="16"/>
        <v>2</v>
      </c>
      <c r="AP22" s="21">
        <f t="shared" si="11"/>
        <v>0</v>
      </c>
    </row>
    <row r="23" spans="1:42" ht="14.5" x14ac:dyDescent="0.35">
      <c r="A23" s="21" t="s">
        <v>73</v>
      </c>
      <c r="B23" s="21" t="s">
        <v>53</v>
      </c>
      <c r="C23" s="21" t="s">
        <v>53</v>
      </c>
      <c r="D23" s="21" t="s">
        <v>56</v>
      </c>
      <c r="E23" s="21" t="s">
        <v>54</v>
      </c>
      <c r="F23" s="21" t="s">
        <v>54</v>
      </c>
      <c r="G23" s="21" t="s">
        <v>62</v>
      </c>
      <c r="H23" s="21" t="s">
        <v>56</v>
      </c>
      <c r="I23" s="21" t="s">
        <v>53</v>
      </c>
      <c r="J23" s="21" t="s">
        <v>53</v>
      </c>
      <c r="K23" s="21" t="s">
        <v>53</v>
      </c>
      <c r="L23" s="21" t="s">
        <v>54</v>
      </c>
      <c r="M23" s="21" t="s">
        <v>54</v>
      </c>
      <c r="N23" s="21" t="s">
        <v>54</v>
      </c>
      <c r="O23" s="21" t="s">
        <v>54</v>
      </c>
      <c r="P23" s="21" t="s">
        <v>53</v>
      </c>
      <c r="Q23" s="21" t="s">
        <v>53</v>
      </c>
      <c r="R23" s="21" t="s">
        <v>53</v>
      </c>
      <c r="S23" s="21" t="s">
        <v>56</v>
      </c>
      <c r="T23" s="21" t="s">
        <v>56</v>
      </c>
      <c r="U23" s="21" t="s">
        <v>54</v>
      </c>
      <c r="V23" s="21" t="s">
        <v>54</v>
      </c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>
        <f t="shared" si="12"/>
        <v>13</v>
      </c>
      <c r="AH23" s="21">
        <f t="shared" si="13"/>
        <v>0</v>
      </c>
      <c r="AI23" s="21">
        <f t="shared" si="14"/>
        <v>0</v>
      </c>
      <c r="AJ23" s="21">
        <f t="shared" si="15"/>
        <v>0</v>
      </c>
      <c r="AK23" s="21">
        <f t="shared" si="6"/>
        <v>0</v>
      </c>
      <c r="AL23" s="21">
        <f t="shared" si="7"/>
        <v>0</v>
      </c>
      <c r="AM23" s="21">
        <f t="shared" si="8"/>
        <v>0</v>
      </c>
      <c r="AN23" s="21">
        <f t="shared" si="9"/>
        <v>0</v>
      </c>
      <c r="AO23" s="21">
        <f t="shared" si="16"/>
        <v>4</v>
      </c>
      <c r="AP23" s="21">
        <f t="shared" si="11"/>
        <v>1</v>
      </c>
    </row>
    <row r="24" spans="1:42" ht="14.5" x14ac:dyDescent="0.35">
      <c r="A24" s="21" t="s">
        <v>74</v>
      </c>
      <c r="B24" s="21" t="s">
        <v>19</v>
      </c>
      <c r="C24" s="21" t="s">
        <v>54</v>
      </c>
      <c r="D24" s="21" t="s">
        <v>54</v>
      </c>
      <c r="E24" s="21" t="s">
        <v>53</v>
      </c>
      <c r="F24" s="21" t="s">
        <v>56</v>
      </c>
      <c r="G24" s="21" t="s">
        <v>62</v>
      </c>
      <c r="H24" s="21" t="s">
        <v>56</v>
      </c>
      <c r="I24" s="21" t="s">
        <v>56</v>
      </c>
      <c r="J24" s="21" t="s">
        <v>54</v>
      </c>
      <c r="K24" s="21" t="s">
        <v>54</v>
      </c>
      <c r="L24" s="21" t="s">
        <v>53</v>
      </c>
      <c r="M24" s="21" t="s">
        <v>53</v>
      </c>
      <c r="N24" s="21" t="s">
        <v>56</v>
      </c>
      <c r="O24" s="21" t="s">
        <v>53</v>
      </c>
      <c r="P24" s="21" t="s">
        <v>54</v>
      </c>
      <c r="Q24" s="21" t="s">
        <v>53</v>
      </c>
      <c r="R24" s="21" t="s">
        <v>56</v>
      </c>
      <c r="S24" s="21" t="s">
        <v>53</v>
      </c>
      <c r="T24" s="21" t="s">
        <v>54</v>
      </c>
      <c r="U24" s="21" t="s">
        <v>56</v>
      </c>
      <c r="V24" s="21" t="s">
        <v>56</v>
      </c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>
        <f t="shared" si="12"/>
        <v>14</v>
      </c>
      <c r="AH24" s="21">
        <f t="shared" si="13"/>
        <v>0</v>
      </c>
      <c r="AI24" s="21">
        <f t="shared" si="14"/>
        <v>1</v>
      </c>
      <c r="AJ24" s="21">
        <f t="shared" si="15"/>
        <v>0</v>
      </c>
      <c r="AK24" s="21">
        <f t="shared" si="6"/>
        <v>0</v>
      </c>
      <c r="AL24" s="21">
        <f t="shared" si="7"/>
        <v>0</v>
      </c>
      <c r="AM24" s="21">
        <f t="shared" si="8"/>
        <v>0</v>
      </c>
      <c r="AN24" s="21">
        <f t="shared" si="9"/>
        <v>0</v>
      </c>
      <c r="AO24" s="21">
        <f t="shared" si="16"/>
        <v>7</v>
      </c>
      <c r="AP24" s="21">
        <f t="shared" si="11"/>
        <v>1</v>
      </c>
    </row>
    <row r="25" spans="1:42" ht="14.5" x14ac:dyDescent="0.35">
      <c r="A25" s="21" t="s">
        <v>75</v>
      </c>
      <c r="B25" s="21" t="s">
        <v>53</v>
      </c>
      <c r="C25" s="21" t="s">
        <v>54</v>
      </c>
      <c r="D25" s="21" t="s">
        <v>54</v>
      </c>
      <c r="E25" s="21" t="s">
        <v>56</v>
      </c>
      <c r="F25" s="21" t="s">
        <v>53</v>
      </c>
      <c r="G25" s="21" t="s">
        <v>53</v>
      </c>
      <c r="H25" s="21" t="s">
        <v>56</v>
      </c>
      <c r="I25" s="21" t="s">
        <v>53</v>
      </c>
      <c r="J25" s="21" t="s">
        <v>54</v>
      </c>
      <c r="K25" s="21" t="s">
        <v>54</v>
      </c>
      <c r="L25" s="21" t="s">
        <v>53</v>
      </c>
      <c r="M25" s="21" t="s">
        <v>53</v>
      </c>
      <c r="N25" s="21" t="s">
        <v>56</v>
      </c>
      <c r="O25" s="21" t="s">
        <v>53</v>
      </c>
      <c r="P25" s="21" t="s">
        <v>53</v>
      </c>
      <c r="Q25" s="21" t="s">
        <v>16</v>
      </c>
      <c r="R25" s="21" t="s">
        <v>16</v>
      </c>
      <c r="S25" s="21" t="s">
        <v>54</v>
      </c>
      <c r="T25" s="21" t="s">
        <v>54</v>
      </c>
      <c r="U25" s="21" t="s">
        <v>56</v>
      </c>
      <c r="V25" s="21" t="s">
        <v>53</v>
      </c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>
        <f t="shared" si="12"/>
        <v>13</v>
      </c>
      <c r="AH25" s="21">
        <f t="shared" si="13"/>
        <v>2</v>
      </c>
      <c r="AI25" s="21">
        <f t="shared" si="14"/>
        <v>0</v>
      </c>
      <c r="AJ25" s="21">
        <f t="shared" si="15"/>
        <v>0</v>
      </c>
      <c r="AK25" s="21">
        <f t="shared" si="6"/>
        <v>0</v>
      </c>
      <c r="AL25" s="21">
        <f t="shared" si="7"/>
        <v>0</v>
      </c>
      <c r="AM25" s="21">
        <f t="shared" si="8"/>
        <v>0</v>
      </c>
      <c r="AN25" s="21">
        <f t="shared" si="9"/>
        <v>0</v>
      </c>
      <c r="AO25" s="21">
        <f t="shared" si="16"/>
        <v>4</v>
      </c>
      <c r="AP25" s="21">
        <f t="shared" si="11"/>
        <v>0</v>
      </c>
    </row>
    <row r="26" spans="1:42" ht="14.5" x14ac:dyDescent="0.35">
      <c r="A26" s="21" t="s">
        <v>76</v>
      </c>
      <c r="B26" s="21" t="s">
        <v>54</v>
      </c>
      <c r="C26" s="21" t="s">
        <v>53</v>
      </c>
      <c r="D26" s="21" t="s">
        <v>53</v>
      </c>
      <c r="E26" s="21" t="s">
        <v>53</v>
      </c>
      <c r="F26" s="21" t="s">
        <v>53</v>
      </c>
      <c r="G26" s="21" t="s">
        <v>62</v>
      </c>
      <c r="H26" s="21" t="s">
        <v>54</v>
      </c>
      <c r="I26" s="21" t="s">
        <v>54</v>
      </c>
      <c r="J26" s="21" t="s">
        <v>53</v>
      </c>
      <c r="K26" s="21" t="s">
        <v>53</v>
      </c>
      <c r="L26" s="21" t="s">
        <v>53</v>
      </c>
      <c r="M26" s="21" t="s">
        <v>53</v>
      </c>
      <c r="N26" s="21" t="s">
        <v>53</v>
      </c>
      <c r="O26" s="21" t="s">
        <v>54</v>
      </c>
      <c r="P26" s="21" t="s">
        <v>53</v>
      </c>
      <c r="Q26" s="21" t="s">
        <v>54</v>
      </c>
      <c r="R26" s="21" t="s">
        <v>53</v>
      </c>
      <c r="S26" s="21" t="s">
        <v>53</v>
      </c>
      <c r="T26" s="21" t="s">
        <v>54</v>
      </c>
      <c r="U26" s="21" t="s">
        <v>56</v>
      </c>
      <c r="V26" s="21" t="s">
        <v>56</v>
      </c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>
        <f t="shared" si="12"/>
        <v>15</v>
      </c>
      <c r="AH26" s="21">
        <f t="shared" si="13"/>
        <v>0</v>
      </c>
      <c r="AI26" s="21">
        <f t="shared" si="14"/>
        <v>0</v>
      </c>
      <c r="AJ26" s="21">
        <f t="shared" si="15"/>
        <v>0</v>
      </c>
      <c r="AK26" s="21">
        <f t="shared" si="6"/>
        <v>0</v>
      </c>
      <c r="AL26" s="21">
        <f t="shared" si="7"/>
        <v>0</v>
      </c>
      <c r="AM26" s="21">
        <f t="shared" si="8"/>
        <v>0</v>
      </c>
      <c r="AN26" s="21">
        <f t="shared" si="9"/>
        <v>0</v>
      </c>
      <c r="AO26" s="21">
        <f t="shared" si="16"/>
        <v>2</v>
      </c>
      <c r="AP26" s="21">
        <f t="shared" si="11"/>
        <v>1</v>
      </c>
    </row>
    <row r="27" spans="1:42" ht="14.5" x14ac:dyDescent="0.35">
      <c r="A27" s="21" t="s">
        <v>77</v>
      </c>
      <c r="B27" s="21" t="s">
        <v>53</v>
      </c>
      <c r="C27" s="21" t="s">
        <v>54</v>
      </c>
      <c r="D27" s="21" t="s">
        <v>54</v>
      </c>
      <c r="E27" s="21" t="s">
        <v>53</v>
      </c>
      <c r="F27" s="21" t="s">
        <v>62</v>
      </c>
      <c r="G27" s="21" t="s">
        <v>62</v>
      </c>
      <c r="H27" s="21" t="s">
        <v>19</v>
      </c>
      <c r="I27" s="21" t="s">
        <v>19</v>
      </c>
      <c r="J27" s="21" t="s">
        <v>54</v>
      </c>
      <c r="K27" s="21" t="s">
        <v>54</v>
      </c>
      <c r="L27" s="21" t="s">
        <v>53</v>
      </c>
      <c r="M27" s="21" t="s">
        <v>53</v>
      </c>
      <c r="N27" s="21" t="s">
        <v>53</v>
      </c>
      <c r="O27" s="21" t="s">
        <v>53</v>
      </c>
      <c r="P27" s="21" t="s">
        <v>53</v>
      </c>
      <c r="Q27" s="21" t="s">
        <v>53</v>
      </c>
      <c r="R27" s="21" t="s">
        <v>53</v>
      </c>
      <c r="S27" s="21" t="s">
        <v>54</v>
      </c>
      <c r="T27" s="21" t="s">
        <v>54</v>
      </c>
      <c r="U27" s="21" t="s">
        <v>19</v>
      </c>
      <c r="V27" s="21" t="s">
        <v>56</v>
      </c>
      <c r="W27" s="21" t="s">
        <v>53</v>
      </c>
      <c r="X27" s="21"/>
      <c r="Y27" s="21"/>
      <c r="Z27" s="21"/>
      <c r="AA27" s="21"/>
      <c r="AB27" s="21"/>
      <c r="AC27" s="21"/>
      <c r="AD27" s="21"/>
      <c r="AE27" s="21"/>
      <c r="AF27" s="21"/>
      <c r="AG27" s="21">
        <f t="shared" si="12"/>
        <v>13</v>
      </c>
      <c r="AH27" s="21">
        <f t="shared" si="13"/>
        <v>0</v>
      </c>
      <c r="AI27" s="21">
        <f t="shared" si="14"/>
        <v>3</v>
      </c>
      <c r="AJ27" s="21">
        <f t="shared" si="15"/>
        <v>0</v>
      </c>
      <c r="AK27" s="21">
        <f t="shared" si="6"/>
        <v>0</v>
      </c>
      <c r="AL27" s="21">
        <f t="shared" si="7"/>
        <v>0</v>
      </c>
      <c r="AM27" s="21">
        <f t="shared" si="8"/>
        <v>0</v>
      </c>
      <c r="AN27" s="21">
        <f t="shared" si="9"/>
        <v>0</v>
      </c>
      <c r="AO27" s="21">
        <f t="shared" si="16"/>
        <v>1</v>
      </c>
      <c r="AP27" s="21">
        <f t="shared" si="11"/>
        <v>2</v>
      </c>
    </row>
    <row r="28" spans="1:42" ht="14.5" x14ac:dyDescent="0.35">
      <c r="A28" s="21" t="s">
        <v>78</v>
      </c>
      <c r="B28" s="21" t="s">
        <v>56</v>
      </c>
      <c r="C28" s="21" t="s">
        <v>53</v>
      </c>
      <c r="D28" s="21" t="s">
        <v>56</v>
      </c>
      <c r="E28" s="21" t="s">
        <v>54</v>
      </c>
      <c r="F28" s="21" t="s">
        <v>54</v>
      </c>
      <c r="G28" s="21" t="s">
        <v>62</v>
      </c>
      <c r="H28" s="21" t="s">
        <v>62</v>
      </c>
      <c r="I28" s="21" t="s">
        <v>62</v>
      </c>
      <c r="J28" s="21" t="s">
        <v>53</v>
      </c>
      <c r="K28" s="21" t="s">
        <v>53</v>
      </c>
      <c r="L28" s="21" t="s">
        <v>54</v>
      </c>
      <c r="M28" s="21" t="s">
        <v>54</v>
      </c>
      <c r="N28" s="21" t="s">
        <v>53</v>
      </c>
      <c r="O28" s="21" t="s">
        <v>53</v>
      </c>
      <c r="P28" s="21" t="s">
        <v>54</v>
      </c>
      <c r="Q28" s="21" t="s">
        <v>54</v>
      </c>
      <c r="R28" s="21" t="s">
        <v>53</v>
      </c>
      <c r="S28" s="21" t="s">
        <v>56</v>
      </c>
      <c r="T28" s="21" t="s">
        <v>53</v>
      </c>
      <c r="U28" s="21" t="s">
        <v>56</v>
      </c>
      <c r="V28" s="21" t="s">
        <v>54</v>
      </c>
      <c r="W28" s="21" t="s">
        <v>56</v>
      </c>
      <c r="X28" s="21"/>
      <c r="Y28" s="21"/>
      <c r="Z28" s="21"/>
      <c r="AA28" s="21"/>
      <c r="AB28" s="21"/>
      <c r="AC28" s="21"/>
      <c r="AD28" s="21"/>
      <c r="AE28" s="21"/>
      <c r="AF28" s="21"/>
      <c r="AG28" s="21">
        <f t="shared" si="12"/>
        <v>15</v>
      </c>
      <c r="AH28" s="21">
        <f t="shared" si="13"/>
        <v>0</v>
      </c>
      <c r="AI28" s="21">
        <f t="shared" si="14"/>
        <v>0</v>
      </c>
      <c r="AJ28" s="21">
        <f t="shared" si="15"/>
        <v>0</v>
      </c>
      <c r="AK28" s="21">
        <f t="shared" si="6"/>
        <v>0</v>
      </c>
      <c r="AL28" s="21">
        <f t="shared" si="7"/>
        <v>0</v>
      </c>
      <c r="AM28" s="21">
        <f t="shared" si="8"/>
        <v>0</v>
      </c>
      <c r="AN28" s="21">
        <f t="shared" si="9"/>
        <v>0</v>
      </c>
      <c r="AO28" s="21">
        <f t="shared" si="16"/>
        <v>5</v>
      </c>
      <c r="AP28" s="21">
        <f t="shared" si="11"/>
        <v>3</v>
      </c>
    </row>
    <row r="29" spans="1:42" ht="14.5" hidden="1" x14ac:dyDescent="0.35">
      <c r="A29" s="21" t="s">
        <v>79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>
        <f t="shared" si="12"/>
        <v>0</v>
      </c>
      <c r="AH29" s="21">
        <f t="shared" si="13"/>
        <v>0</v>
      </c>
      <c r="AI29" s="21">
        <f t="shared" si="14"/>
        <v>0</v>
      </c>
      <c r="AJ29" s="21">
        <f t="shared" si="15"/>
        <v>0</v>
      </c>
      <c r="AK29" s="21">
        <f t="shared" si="6"/>
        <v>0</v>
      </c>
      <c r="AL29" s="21">
        <f t="shared" si="7"/>
        <v>0</v>
      </c>
      <c r="AM29" s="21">
        <f t="shared" si="8"/>
        <v>0</v>
      </c>
      <c r="AN29" s="21">
        <f t="shared" si="9"/>
        <v>0</v>
      </c>
      <c r="AO29" s="21">
        <f t="shared" si="16"/>
        <v>0</v>
      </c>
      <c r="AP29" s="21">
        <f t="shared" si="11"/>
        <v>0</v>
      </c>
    </row>
    <row r="30" spans="1:42" ht="14.5" x14ac:dyDescent="0.35">
      <c r="A30" s="21" t="s">
        <v>80</v>
      </c>
      <c r="B30" s="21" t="s">
        <v>56</v>
      </c>
      <c r="C30" s="21" t="s">
        <v>56</v>
      </c>
      <c r="D30" s="21" t="s">
        <v>53</v>
      </c>
      <c r="E30" s="21" t="s">
        <v>54</v>
      </c>
      <c r="F30" s="21" t="s">
        <v>54</v>
      </c>
      <c r="G30" s="21" t="s">
        <v>56</v>
      </c>
      <c r="H30" s="21" t="s">
        <v>56</v>
      </c>
      <c r="I30" s="21" t="s">
        <v>53</v>
      </c>
      <c r="J30" s="21" t="s">
        <v>53</v>
      </c>
      <c r="K30" s="21" t="s">
        <v>56</v>
      </c>
      <c r="L30" s="21" t="s">
        <v>54</v>
      </c>
      <c r="M30" s="21" t="s">
        <v>54</v>
      </c>
      <c r="N30" s="21" t="s">
        <v>53</v>
      </c>
      <c r="O30" s="21" t="s">
        <v>53</v>
      </c>
      <c r="P30" s="21" t="s">
        <v>19</v>
      </c>
      <c r="Q30" s="21" t="s">
        <v>19</v>
      </c>
      <c r="R30" s="21" t="s">
        <v>56</v>
      </c>
      <c r="S30" s="21" t="s">
        <v>54</v>
      </c>
      <c r="T30" s="21" t="s">
        <v>54</v>
      </c>
      <c r="U30" s="21" t="s">
        <v>62</v>
      </c>
      <c r="V30" s="21" t="s">
        <v>56</v>
      </c>
      <c r="W30" s="21" t="s">
        <v>56</v>
      </c>
      <c r="X30" s="21"/>
      <c r="Y30" s="21"/>
      <c r="Z30" s="21"/>
      <c r="AA30" s="21"/>
      <c r="AB30" s="21"/>
      <c r="AC30" s="21"/>
      <c r="AD30" s="21"/>
      <c r="AE30" s="21"/>
      <c r="AF30" s="21"/>
      <c r="AG30" s="21">
        <f t="shared" si="12"/>
        <v>14</v>
      </c>
      <c r="AH30" s="21">
        <f t="shared" si="13"/>
        <v>0</v>
      </c>
      <c r="AI30" s="21">
        <f t="shared" si="14"/>
        <v>2</v>
      </c>
      <c r="AJ30" s="21">
        <f t="shared" si="15"/>
        <v>0</v>
      </c>
      <c r="AK30" s="21">
        <f t="shared" si="6"/>
        <v>0</v>
      </c>
      <c r="AL30" s="21">
        <f t="shared" si="7"/>
        <v>0</v>
      </c>
      <c r="AM30" s="21">
        <f t="shared" si="8"/>
        <v>0</v>
      </c>
      <c r="AN30" s="21">
        <f t="shared" si="9"/>
        <v>0</v>
      </c>
      <c r="AO30" s="21">
        <f t="shared" si="16"/>
        <v>8</v>
      </c>
      <c r="AP30" s="21">
        <f t="shared" si="11"/>
        <v>1</v>
      </c>
    </row>
    <row r="31" spans="1:42" ht="14.5" hidden="1" x14ac:dyDescent="0.35">
      <c r="A31" s="22" t="s">
        <v>81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>
        <f t="shared" si="12"/>
        <v>0</v>
      </c>
      <c r="AH31" s="21">
        <f t="shared" si="13"/>
        <v>0</v>
      </c>
      <c r="AI31" s="21">
        <f t="shared" si="14"/>
        <v>0</v>
      </c>
      <c r="AJ31" s="21">
        <f t="shared" si="15"/>
        <v>0</v>
      </c>
      <c r="AK31" s="21">
        <f t="shared" si="6"/>
        <v>0</v>
      </c>
      <c r="AL31" s="21">
        <f t="shared" si="7"/>
        <v>0</v>
      </c>
      <c r="AM31" s="21">
        <f t="shared" si="8"/>
        <v>0</v>
      </c>
      <c r="AN31" s="21">
        <f t="shared" si="9"/>
        <v>0</v>
      </c>
      <c r="AO31" s="21">
        <f t="shared" si="16"/>
        <v>0</v>
      </c>
      <c r="AP31" s="21">
        <f t="shared" si="11"/>
        <v>0</v>
      </c>
    </row>
    <row r="32" spans="1:42" ht="14.5" x14ac:dyDescent="0.35">
      <c r="A32" s="21" t="s">
        <v>82</v>
      </c>
      <c r="B32" s="21" t="s">
        <v>53</v>
      </c>
      <c r="C32" s="21" t="s">
        <v>53</v>
      </c>
      <c r="D32" s="21" t="s">
        <v>56</v>
      </c>
      <c r="E32" s="21" t="s">
        <v>54</v>
      </c>
      <c r="F32" s="21" t="s">
        <v>54</v>
      </c>
      <c r="G32" s="21" t="s">
        <v>56</v>
      </c>
      <c r="H32" s="21" t="s">
        <v>56</v>
      </c>
      <c r="I32" s="21" t="s">
        <v>56</v>
      </c>
      <c r="J32" s="21" t="s">
        <v>62</v>
      </c>
      <c r="K32" s="21" t="s">
        <v>56</v>
      </c>
      <c r="L32" s="21" t="s">
        <v>54</v>
      </c>
      <c r="M32" s="21" t="s">
        <v>54</v>
      </c>
      <c r="N32" s="21" t="s">
        <v>56</v>
      </c>
      <c r="O32" s="21" t="s">
        <v>56</v>
      </c>
      <c r="P32" s="21" t="s">
        <v>53</v>
      </c>
      <c r="Q32" s="21" t="s">
        <v>53</v>
      </c>
      <c r="R32" s="21" t="s">
        <v>56</v>
      </c>
      <c r="S32" s="21" t="s">
        <v>54</v>
      </c>
      <c r="T32" s="21" t="s">
        <v>54</v>
      </c>
      <c r="U32" s="21" t="s">
        <v>56</v>
      </c>
      <c r="V32" s="21" t="s">
        <v>56</v>
      </c>
      <c r="W32" s="21" t="s">
        <v>56</v>
      </c>
      <c r="X32" s="21"/>
      <c r="Y32" s="21"/>
      <c r="Z32" s="21"/>
      <c r="AA32" s="21"/>
      <c r="AB32" s="21"/>
      <c r="AC32" s="21"/>
      <c r="AD32" s="21"/>
      <c r="AE32" s="21"/>
      <c r="AF32" s="21"/>
      <c r="AG32" s="21">
        <f t="shared" si="12"/>
        <v>16</v>
      </c>
      <c r="AH32" s="21">
        <f t="shared" si="13"/>
        <v>0</v>
      </c>
      <c r="AI32" s="21">
        <f t="shared" si="14"/>
        <v>0</v>
      </c>
      <c r="AJ32" s="21">
        <f t="shared" si="15"/>
        <v>0</v>
      </c>
      <c r="AK32" s="21">
        <f t="shared" si="6"/>
        <v>0</v>
      </c>
      <c r="AL32" s="21">
        <f t="shared" si="7"/>
        <v>0</v>
      </c>
      <c r="AM32" s="21">
        <f t="shared" si="8"/>
        <v>0</v>
      </c>
      <c r="AN32" s="21">
        <f t="shared" si="9"/>
        <v>0</v>
      </c>
      <c r="AO32" s="21">
        <f t="shared" si="16"/>
        <v>11</v>
      </c>
      <c r="AP32" s="21">
        <f t="shared" si="11"/>
        <v>1</v>
      </c>
    </row>
    <row r="33" spans="1:42" ht="14.5" x14ac:dyDescent="0.35">
      <c r="A33" s="21" t="s">
        <v>83</v>
      </c>
      <c r="B33" s="21" t="s">
        <v>53</v>
      </c>
      <c r="C33" s="21" t="s">
        <v>53</v>
      </c>
      <c r="D33" s="21" t="s">
        <v>56</v>
      </c>
      <c r="E33" s="21" t="s">
        <v>54</v>
      </c>
      <c r="F33" s="21" t="s">
        <v>54</v>
      </c>
      <c r="G33" s="21" t="s">
        <v>53</v>
      </c>
      <c r="H33" s="21" t="s">
        <v>56</v>
      </c>
      <c r="I33" s="21" t="s">
        <v>19</v>
      </c>
      <c r="J33" s="21" t="s">
        <v>53</v>
      </c>
      <c r="K33" s="21" t="s">
        <v>56</v>
      </c>
      <c r="L33" s="21" t="s">
        <v>54</v>
      </c>
      <c r="M33" s="21" t="s">
        <v>54</v>
      </c>
      <c r="N33" s="21" t="s">
        <v>53</v>
      </c>
      <c r="O33" s="21" t="s">
        <v>53</v>
      </c>
      <c r="P33" s="21" t="s">
        <v>53</v>
      </c>
      <c r="Q33" s="21" t="s">
        <v>54</v>
      </c>
      <c r="R33" s="21" t="s">
        <v>54</v>
      </c>
      <c r="S33" s="21" t="s">
        <v>56</v>
      </c>
      <c r="T33" s="21" t="s">
        <v>53</v>
      </c>
      <c r="U33" s="21" t="s">
        <v>56</v>
      </c>
      <c r="V33" s="21" t="s">
        <v>56</v>
      </c>
      <c r="W33" s="21" t="s">
        <v>53</v>
      </c>
      <c r="X33" s="21"/>
      <c r="Y33" s="21"/>
      <c r="Z33" s="21"/>
      <c r="AA33" s="21"/>
      <c r="AB33" s="21"/>
      <c r="AC33" s="21"/>
      <c r="AD33" s="21"/>
      <c r="AE33" s="21"/>
      <c r="AF33" s="21"/>
      <c r="AG33" s="21">
        <f t="shared" si="12"/>
        <v>15</v>
      </c>
      <c r="AH33" s="21">
        <f t="shared" si="13"/>
        <v>0</v>
      </c>
      <c r="AI33" s="21">
        <f t="shared" si="14"/>
        <v>1</v>
      </c>
      <c r="AJ33" s="21">
        <f t="shared" si="15"/>
        <v>0</v>
      </c>
      <c r="AK33" s="21">
        <f t="shared" si="6"/>
        <v>0</v>
      </c>
      <c r="AL33" s="21">
        <f t="shared" si="7"/>
        <v>0</v>
      </c>
      <c r="AM33" s="21">
        <f t="shared" si="8"/>
        <v>0</v>
      </c>
      <c r="AN33" s="21">
        <f t="shared" si="9"/>
        <v>0</v>
      </c>
      <c r="AO33" s="21">
        <f t="shared" si="16"/>
        <v>6</v>
      </c>
      <c r="AP33" s="21">
        <f t="shared" si="11"/>
        <v>0</v>
      </c>
    </row>
    <row r="34" spans="1:42" ht="14.5" x14ac:dyDescent="0.35">
      <c r="A34" s="21" t="s">
        <v>84</v>
      </c>
      <c r="B34" s="21" t="s">
        <v>53</v>
      </c>
      <c r="C34" s="21" t="s">
        <v>53</v>
      </c>
      <c r="D34" s="21" t="s">
        <v>53</v>
      </c>
      <c r="E34" s="21" t="s">
        <v>53</v>
      </c>
      <c r="F34" s="21" t="s">
        <v>53</v>
      </c>
      <c r="G34" s="21" t="s">
        <v>54</v>
      </c>
      <c r="H34" s="21" t="s">
        <v>54</v>
      </c>
      <c r="I34" s="21" t="s">
        <v>53</v>
      </c>
      <c r="J34" s="21" t="s">
        <v>53</v>
      </c>
      <c r="K34" s="21" t="s">
        <v>53</v>
      </c>
      <c r="L34" s="21" t="s">
        <v>53</v>
      </c>
      <c r="M34" s="21" t="s">
        <v>53</v>
      </c>
      <c r="N34" s="21" t="s">
        <v>53</v>
      </c>
      <c r="O34" s="21" t="s">
        <v>53</v>
      </c>
      <c r="P34" s="21" t="s">
        <v>53</v>
      </c>
      <c r="Q34" s="21" t="s">
        <v>53</v>
      </c>
      <c r="R34" s="21" t="s">
        <v>53</v>
      </c>
      <c r="S34" s="21" t="s">
        <v>54</v>
      </c>
      <c r="T34" s="21" t="s">
        <v>54</v>
      </c>
      <c r="U34" s="21" t="s">
        <v>16</v>
      </c>
      <c r="V34" s="21" t="s">
        <v>16</v>
      </c>
      <c r="W34" s="21" t="s">
        <v>16</v>
      </c>
      <c r="X34" s="21" t="s">
        <v>16</v>
      </c>
      <c r="Y34" s="21" t="s">
        <v>16</v>
      </c>
      <c r="Z34" s="21" t="s">
        <v>54</v>
      </c>
      <c r="AA34" s="21" t="s">
        <v>54</v>
      </c>
      <c r="AB34" s="21"/>
      <c r="AC34" s="21"/>
      <c r="AD34" s="21"/>
      <c r="AE34" s="21"/>
      <c r="AF34" s="21"/>
      <c r="AG34" s="21">
        <f t="shared" si="12"/>
        <v>15</v>
      </c>
      <c r="AH34" s="21">
        <f t="shared" si="13"/>
        <v>5</v>
      </c>
      <c r="AI34" s="21">
        <f t="shared" si="14"/>
        <v>0</v>
      </c>
      <c r="AJ34" s="21">
        <f t="shared" si="15"/>
        <v>0</v>
      </c>
      <c r="AK34" s="21">
        <f t="shared" si="6"/>
        <v>0</v>
      </c>
      <c r="AL34" s="21">
        <f t="shared" si="7"/>
        <v>0</v>
      </c>
      <c r="AM34" s="21">
        <f t="shared" si="8"/>
        <v>0</v>
      </c>
      <c r="AN34" s="21">
        <f t="shared" si="9"/>
        <v>0</v>
      </c>
      <c r="AO34" s="21">
        <f t="shared" si="16"/>
        <v>0</v>
      </c>
      <c r="AP34" s="21">
        <f t="shared" si="11"/>
        <v>0</v>
      </c>
    </row>
    <row r="35" spans="1:42" ht="14.5" hidden="1" x14ac:dyDescent="0.35">
      <c r="A35" s="22" t="s">
        <v>85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>
        <f t="shared" si="12"/>
        <v>0</v>
      </c>
      <c r="AH35" s="21">
        <f t="shared" si="13"/>
        <v>0</v>
      </c>
      <c r="AI35" s="21">
        <f t="shared" si="14"/>
        <v>0</v>
      </c>
      <c r="AJ35" s="21">
        <f t="shared" si="15"/>
        <v>0</v>
      </c>
      <c r="AK35" s="21">
        <f t="shared" si="6"/>
        <v>0</v>
      </c>
      <c r="AL35" s="21">
        <f t="shared" si="7"/>
        <v>0</v>
      </c>
      <c r="AM35" s="21">
        <f t="shared" si="8"/>
        <v>0</v>
      </c>
      <c r="AN35" s="21">
        <f t="shared" si="9"/>
        <v>0</v>
      </c>
      <c r="AO35" s="21">
        <f t="shared" si="16"/>
        <v>0</v>
      </c>
      <c r="AP35" s="21">
        <f t="shared" si="11"/>
        <v>0</v>
      </c>
    </row>
    <row r="36" spans="1:42" ht="14.5" hidden="1" x14ac:dyDescent="0.35">
      <c r="A36" s="22" t="s">
        <v>86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>
        <f t="shared" si="12"/>
        <v>0</v>
      </c>
      <c r="AH36" s="21">
        <f t="shared" si="13"/>
        <v>0</v>
      </c>
      <c r="AI36" s="21">
        <f t="shared" si="14"/>
        <v>0</v>
      </c>
      <c r="AJ36" s="21">
        <f t="shared" si="15"/>
        <v>0</v>
      </c>
      <c r="AK36" s="21">
        <f t="shared" si="6"/>
        <v>0</v>
      </c>
      <c r="AL36" s="21">
        <f t="shared" si="7"/>
        <v>0</v>
      </c>
      <c r="AM36" s="21">
        <f t="shared" si="8"/>
        <v>0</v>
      </c>
      <c r="AN36" s="21">
        <f t="shared" si="9"/>
        <v>0</v>
      </c>
      <c r="AO36" s="21">
        <f t="shared" si="16"/>
        <v>0</v>
      </c>
      <c r="AP36" s="21">
        <f t="shared" si="11"/>
        <v>0</v>
      </c>
    </row>
    <row r="37" spans="1:42" ht="14.5" x14ac:dyDescent="0.35">
      <c r="A37" s="21" t="s">
        <v>87</v>
      </c>
      <c r="B37" s="21" t="s">
        <v>19</v>
      </c>
      <c r="C37" s="21" t="s">
        <v>16</v>
      </c>
      <c r="D37" s="21" t="s">
        <v>62</v>
      </c>
      <c r="E37" s="21" t="s">
        <v>54</v>
      </c>
      <c r="F37" s="21" t="s">
        <v>54</v>
      </c>
      <c r="G37" s="21" t="s">
        <v>62</v>
      </c>
      <c r="H37" s="21" t="s">
        <v>62</v>
      </c>
      <c r="I37" s="21" t="s">
        <v>62</v>
      </c>
      <c r="J37" s="21" t="s">
        <v>62</v>
      </c>
      <c r="K37" s="21" t="s">
        <v>62</v>
      </c>
      <c r="L37" s="21" t="s">
        <v>54</v>
      </c>
      <c r="M37" s="21" t="s">
        <v>54</v>
      </c>
      <c r="N37" s="21" t="s">
        <v>62</v>
      </c>
      <c r="O37" s="21" t="s">
        <v>62</v>
      </c>
      <c r="P37" s="21" t="s">
        <v>62</v>
      </c>
      <c r="Q37" s="21" t="s">
        <v>62</v>
      </c>
      <c r="R37" s="21" t="s">
        <v>62</v>
      </c>
      <c r="S37" s="21" t="s">
        <v>54</v>
      </c>
      <c r="T37" s="21" t="s">
        <v>54</v>
      </c>
      <c r="U37" s="21" t="s">
        <v>62</v>
      </c>
      <c r="V37" s="21" t="s">
        <v>62</v>
      </c>
      <c r="W37" s="21" t="s">
        <v>62</v>
      </c>
      <c r="X37" s="21"/>
      <c r="Y37" s="21"/>
      <c r="Z37" s="21"/>
      <c r="AA37" s="21"/>
      <c r="AB37" s="21"/>
      <c r="AC37" s="21"/>
      <c r="AD37" s="21"/>
      <c r="AE37" s="21"/>
      <c r="AF37" s="21"/>
      <c r="AG37" s="21">
        <f t="shared" si="12"/>
        <v>14</v>
      </c>
      <c r="AH37" s="21">
        <f t="shared" si="13"/>
        <v>1</v>
      </c>
      <c r="AI37" s="21">
        <f t="shared" si="14"/>
        <v>1</v>
      </c>
      <c r="AJ37" s="21">
        <f t="shared" si="15"/>
        <v>0</v>
      </c>
      <c r="AK37" s="21">
        <f t="shared" si="6"/>
        <v>0</v>
      </c>
      <c r="AL37" s="21">
        <f t="shared" si="7"/>
        <v>0</v>
      </c>
      <c r="AM37" s="21">
        <f t="shared" si="8"/>
        <v>0</v>
      </c>
      <c r="AN37" s="21">
        <f t="shared" si="9"/>
        <v>0</v>
      </c>
      <c r="AO37" s="21">
        <f t="shared" si="16"/>
        <v>0</v>
      </c>
      <c r="AP37" s="21">
        <f t="shared" si="11"/>
        <v>14</v>
      </c>
    </row>
    <row r="38" spans="1:42" ht="14.5" x14ac:dyDescent="0.35">
      <c r="A38" s="21" t="s">
        <v>88</v>
      </c>
      <c r="B38" s="21" t="s">
        <v>62</v>
      </c>
      <c r="C38" s="21" t="s">
        <v>62</v>
      </c>
      <c r="D38" s="21" t="s">
        <v>56</v>
      </c>
      <c r="E38" s="21" t="s">
        <v>54</v>
      </c>
      <c r="F38" s="21" t="s">
        <v>54</v>
      </c>
      <c r="G38" s="21" t="s">
        <v>56</v>
      </c>
      <c r="H38" s="21" t="s">
        <v>56</v>
      </c>
      <c r="I38" s="21" t="s">
        <v>56</v>
      </c>
      <c r="J38" s="21" t="s">
        <v>56</v>
      </c>
      <c r="K38" s="21" t="s">
        <v>56</v>
      </c>
      <c r="L38" s="21" t="s">
        <v>54</v>
      </c>
      <c r="M38" s="21" t="s">
        <v>54</v>
      </c>
      <c r="N38" s="21" t="s">
        <v>56</v>
      </c>
      <c r="O38" s="21" t="s">
        <v>19</v>
      </c>
      <c r="P38" s="21" t="s">
        <v>56</v>
      </c>
      <c r="Q38" s="21" t="s">
        <v>53</v>
      </c>
      <c r="R38" s="21" t="s">
        <v>56</v>
      </c>
      <c r="S38" s="21" t="s">
        <v>54</v>
      </c>
      <c r="T38" s="21" t="s">
        <v>54</v>
      </c>
      <c r="U38" s="21" t="s">
        <v>56</v>
      </c>
      <c r="V38" s="21" t="s">
        <v>56</v>
      </c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>
        <f t="shared" si="12"/>
        <v>14</v>
      </c>
      <c r="AH38" s="21">
        <f t="shared" si="13"/>
        <v>0</v>
      </c>
      <c r="AI38" s="21">
        <f t="shared" si="14"/>
        <v>1</v>
      </c>
      <c r="AJ38" s="21">
        <f t="shared" si="15"/>
        <v>0</v>
      </c>
      <c r="AK38" s="21">
        <f t="shared" si="6"/>
        <v>0</v>
      </c>
      <c r="AL38" s="21">
        <f t="shared" si="7"/>
        <v>0</v>
      </c>
      <c r="AM38" s="21">
        <f t="shared" si="8"/>
        <v>0</v>
      </c>
      <c r="AN38" s="21">
        <f t="shared" si="9"/>
        <v>0</v>
      </c>
      <c r="AO38" s="21">
        <f t="shared" si="16"/>
        <v>11</v>
      </c>
      <c r="AP38" s="21">
        <f t="shared" si="11"/>
        <v>2</v>
      </c>
    </row>
    <row r="39" spans="1:42" ht="14.5" x14ac:dyDescent="0.35">
      <c r="A39" s="21" t="s">
        <v>89</v>
      </c>
      <c r="B39" s="21" t="s">
        <v>53</v>
      </c>
      <c r="C39" s="21" t="s">
        <v>56</v>
      </c>
      <c r="D39" s="21" t="s">
        <v>56</v>
      </c>
      <c r="E39" s="21" t="s">
        <v>54</v>
      </c>
      <c r="F39" s="21" t="s">
        <v>54</v>
      </c>
      <c r="G39" s="21" t="s">
        <v>53</v>
      </c>
      <c r="H39" s="21" t="s">
        <v>62</v>
      </c>
      <c r="I39" s="21" t="s">
        <v>53</v>
      </c>
      <c r="J39" s="21" t="s">
        <v>53</v>
      </c>
      <c r="K39" s="21" t="s">
        <v>53</v>
      </c>
      <c r="L39" s="21" t="s">
        <v>54</v>
      </c>
      <c r="M39" s="21" t="s">
        <v>54</v>
      </c>
      <c r="N39" s="21" t="s">
        <v>53</v>
      </c>
      <c r="O39" s="21" t="s">
        <v>53</v>
      </c>
      <c r="P39" s="21" t="s">
        <v>53</v>
      </c>
      <c r="Q39" s="21" t="s">
        <v>56</v>
      </c>
      <c r="R39" s="21" t="s">
        <v>53</v>
      </c>
      <c r="S39" s="21" t="s">
        <v>54</v>
      </c>
      <c r="T39" s="21" t="s">
        <v>54</v>
      </c>
      <c r="U39" s="21" t="s">
        <v>19</v>
      </c>
      <c r="V39" s="21" t="s">
        <v>53</v>
      </c>
      <c r="W39" s="21" t="s">
        <v>53</v>
      </c>
      <c r="X39" s="21"/>
      <c r="Y39" s="21"/>
      <c r="Z39" s="21"/>
      <c r="AA39" s="21"/>
      <c r="AB39" s="21"/>
      <c r="AC39" s="21"/>
      <c r="AD39" s="21"/>
      <c r="AE39" s="21"/>
      <c r="AF39" s="21"/>
      <c r="AG39" s="21">
        <f t="shared" si="12"/>
        <v>15</v>
      </c>
      <c r="AH39" s="21">
        <f t="shared" si="13"/>
        <v>0</v>
      </c>
      <c r="AI39" s="21">
        <f t="shared" si="14"/>
        <v>1</v>
      </c>
      <c r="AJ39" s="21">
        <f t="shared" si="15"/>
        <v>0</v>
      </c>
      <c r="AK39" s="21">
        <f t="shared" si="6"/>
        <v>0</v>
      </c>
      <c r="AL39" s="21">
        <f t="shared" si="7"/>
        <v>0</v>
      </c>
      <c r="AM39" s="21">
        <f t="shared" si="8"/>
        <v>0</v>
      </c>
      <c r="AN39" s="21">
        <f t="shared" si="9"/>
        <v>0</v>
      </c>
      <c r="AO39" s="21">
        <f t="shared" si="16"/>
        <v>3</v>
      </c>
      <c r="AP39" s="21">
        <f t="shared" si="11"/>
        <v>1</v>
      </c>
    </row>
    <row r="40" spans="1:42" ht="14.5" x14ac:dyDescent="0.35">
      <c r="A40" s="21" t="s">
        <v>90</v>
      </c>
      <c r="B40" s="21" t="s">
        <v>53</v>
      </c>
      <c r="C40" s="21" t="s">
        <v>56</v>
      </c>
      <c r="D40" s="21" t="s">
        <v>56</v>
      </c>
      <c r="E40" s="21" t="s">
        <v>54</v>
      </c>
      <c r="F40" s="21" t="s">
        <v>54</v>
      </c>
      <c r="G40" s="21" t="s">
        <v>53</v>
      </c>
      <c r="H40" s="21" t="s">
        <v>56</v>
      </c>
      <c r="I40" s="21" t="s">
        <v>56</v>
      </c>
      <c r="J40" s="21" t="s">
        <v>53</v>
      </c>
      <c r="K40" s="21" t="s">
        <v>53</v>
      </c>
      <c r="L40" s="21" t="s">
        <v>54</v>
      </c>
      <c r="M40" s="21" t="s">
        <v>54</v>
      </c>
      <c r="N40" s="21" t="s">
        <v>56</v>
      </c>
      <c r="O40" s="21" t="s">
        <v>53</v>
      </c>
      <c r="P40" s="21" t="s">
        <v>53</v>
      </c>
      <c r="Q40" s="21" t="s">
        <v>53</v>
      </c>
      <c r="R40" s="21" t="s">
        <v>53</v>
      </c>
      <c r="S40" s="21" t="s">
        <v>54</v>
      </c>
      <c r="T40" s="21" t="s">
        <v>54</v>
      </c>
      <c r="U40" s="21" t="s">
        <v>16</v>
      </c>
      <c r="V40" s="21" t="s">
        <v>53</v>
      </c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>
        <f t="shared" si="12"/>
        <v>14</v>
      </c>
      <c r="AH40" s="21">
        <f t="shared" si="13"/>
        <v>1</v>
      </c>
      <c r="AI40" s="21">
        <f t="shared" si="14"/>
        <v>0</v>
      </c>
      <c r="AJ40" s="21">
        <f t="shared" si="15"/>
        <v>0</v>
      </c>
      <c r="AK40" s="21">
        <f t="shared" si="6"/>
        <v>0</v>
      </c>
      <c r="AL40" s="21">
        <f t="shared" si="7"/>
        <v>0</v>
      </c>
      <c r="AM40" s="21">
        <f t="shared" si="8"/>
        <v>0</v>
      </c>
      <c r="AN40" s="21">
        <f t="shared" si="9"/>
        <v>0</v>
      </c>
      <c r="AO40" s="21">
        <f t="shared" si="16"/>
        <v>5</v>
      </c>
      <c r="AP40" s="21">
        <f t="shared" si="11"/>
        <v>0</v>
      </c>
    </row>
    <row r="41" spans="1:42" ht="14.5" x14ac:dyDescent="0.35">
      <c r="A41" s="21" t="s">
        <v>91</v>
      </c>
      <c r="B41" s="21" t="s">
        <v>16</v>
      </c>
      <c r="C41" s="21" t="s">
        <v>16</v>
      </c>
      <c r="D41" s="21" t="s">
        <v>16</v>
      </c>
      <c r="E41" s="21" t="s">
        <v>54</v>
      </c>
      <c r="F41" s="21" t="s">
        <v>54</v>
      </c>
      <c r="G41" s="21" t="s">
        <v>53</v>
      </c>
      <c r="H41" s="21" t="s">
        <v>53</v>
      </c>
      <c r="I41" s="21" t="s">
        <v>53</v>
      </c>
      <c r="J41" s="21" t="s">
        <v>53</v>
      </c>
      <c r="K41" s="21" t="s">
        <v>53</v>
      </c>
      <c r="L41" s="21" t="s">
        <v>54</v>
      </c>
      <c r="M41" s="21" t="s">
        <v>54</v>
      </c>
      <c r="N41" s="21" t="s">
        <v>56</v>
      </c>
      <c r="O41" s="21" t="s">
        <v>53</v>
      </c>
      <c r="P41" s="21" t="s">
        <v>53</v>
      </c>
      <c r="Q41" s="21" t="s">
        <v>53</v>
      </c>
      <c r="R41" s="21" t="s">
        <v>53</v>
      </c>
      <c r="S41" s="21" t="s">
        <v>54</v>
      </c>
      <c r="T41" s="21" t="s">
        <v>54</v>
      </c>
      <c r="U41" s="21" t="s">
        <v>53</v>
      </c>
      <c r="V41" s="21" t="s">
        <v>53</v>
      </c>
      <c r="W41" s="21" t="s">
        <v>53</v>
      </c>
      <c r="X41" s="21"/>
      <c r="Y41" s="21"/>
      <c r="Z41" s="21"/>
      <c r="AA41" s="21"/>
      <c r="AB41" s="21"/>
      <c r="AC41" s="21"/>
      <c r="AD41" s="21"/>
      <c r="AE41" s="21"/>
      <c r="AF41" s="21"/>
      <c r="AG41" s="21">
        <f t="shared" si="12"/>
        <v>13</v>
      </c>
      <c r="AH41" s="21">
        <f t="shared" si="13"/>
        <v>3</v>
      </c>
      <c r="AI41" s="21">
        <f t="shared" si="14"/>
        <v>0</v>
      </c>
      <c r="AJ41" s="21">
        <f t="shared" si="15"/>
        <v>0</v>
      </c>
      <c r="AK41" s="21">
        <f t="shared" si="6"/>
        <v>0</v>
      </c>
      <c r="AL41" s="21">
        <f t="shared" si="7"/>
        <v>0</v>
      </c>
      <c r="AM41" s="21">
        <f t="shared" si="8"/>
        <v>0</v>
      </c>
      <c r="AN41" s="21">
        <f t="shared" si="9"/>
        <v>0</v>
      </c>
      <c r="AO41" s="21">
        <f t="shared" si="16"/>
        <v>1</v>
      </c>
      <c r="AP41" s="21">
        <f t="shared" si="11"/>
        <v>0</v>
      </c>
    </row>
    <row r="42" spans="1:42" ht="14.5" x14ac:dyDescent="0.35">
      <c r="A42" s="23" t="s">
        <v>92</v>
      </c>
      <c r="B42" s="21" t="s">
        <v>53</v>
      </c>
      <c r="C42" s="21" t="s">
        <v>53</v>
      </c>
      <c r="D42" s="21" t="s">
        <v>53</v>
      </c>
      <c r="E42" s="21" t="s">
        <v>54</v>
      </c>
      <c r="F42" s="21" t="s">
        <v>54</v>
      </c>
      <c r="G42" s="21" t="s">
        <v>53</v>
      </c>
      <c r="H42" s="21" t="s">
        <v>53</v>
      </c>
      <c r="I42" s="21" t="s">
        <v>53</v>
      </c>
      <c r="J42" s="21" t="s">
        <v>62</v>
      </c>
      <c r="K42" s="21" t="s">
        <v>62</v>
      </c>
      <c r="L42" s="21" t="s">
        <v>54</v>
      </c>
      <c r="M42" s="21" t="s">
        <v>54</v>
      </c>
      <c r="N42" s="21" t="s">
        <v>53</v>
      </c>
      <c r="O42" s="21" t="s">
        <v>53</v>
      </c>
      <c r="P42" s="21" t="s">
        <v>53</v>
      </c>
      <c r="Q42" s="21" t="s">
        <v>53</v>
      </c>
      <c r="R42" s="21" t="s">
        <v>53</v>
      </c>
      <c r="S42" s="21" t="s">
        <v>54</v>
      </c>
      <c r="T42" s="21" t="s">
        <v>54</v>
      </c>
      <c r="U42" s="21" t="s">
        <v>62</v>
      </c>
      <c r="V42" s="21" t="s">
        <v>53</v>
      </c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>
        <f t="shared" si="12"/>
        <v>15</v>
      </c>
      <c r="AH42" s="21">
        <f t="shared" si="13"/>
        <v>0</v>
      </c>
      <c r="AI42" s="21">
        <f t="shared" si="14"/>
        <v>0</v>
      </c>
      <c r="AJ42" s="21">
        <f t="shared" si="15"/>
        <v>0</v>
      </c>
      <c r="AK42" s="21">
        <f t="shared" si="6"/>
        <v>0</v>
      </c>
      <c r="AL42" s="21">
        <f t="shared" si="7"/>
        <v>0</v>
      </c>
      <c r="AM42" s="21">
        <f t="shared" si="8"/>
        <v>0</v>
      </c>
      <c r="AN42" s="21">
        <f t="shared" si="9"/>
        <v>0</v>
      </c>
      <c r="AO42" s="21">
        <f t="shared" si="16"/>
        <v>0</v>
      </c>
      <c r="AP42" s="21">
        <f t="shared" si="11"/>
        <v>3</v>
      </c>
    </row>
    <row r="43" spans="1:42" ht="14.5" x14ac:dyDescent="0.35">
      <c r="A43" s="1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14"/>
      <c r="AH43" s="14"/>
      <c r="AI43" s="14"/>
      <c r="AJ43" s="14"/>
      <c r="AK43" s="14"/>
      <c r="AL43" s="14"/>
      <c r="AM43" s="14"/>
      <c r="AN43" s="14"/>
      <c r="AO43" s="14"/>
      <c r="AP43" s="14"/>
    </row>
    <row r="44" spans="1:42" ht="14.5" x14ac:dyDescent="0.35">
      <c r="A44" s="1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14"/>
      <c r="AH44" s="14"/>
      <c r="AI44" s="14"/>
      <c r="AJ44" s="14"/>
      <c r="AK44" s="14"/>
      <c r="AL44" s="14"/>
      <c r="AM44" s="14"/>
      <c r="AN44" s="14"/>
      <c r="AO44" s="14"/>
      <c r="AP44" s="14"/>
    </row>
    <row r="45" spans="1:42" ht="14.5" x14ac:dyDescent="0.35">
      <c r="A45" s="1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14"/>
      <c r="AH45" s="14"/>
      <c r="AI45" s="14"/>
      <c r="AJ45" s="14"/>
      <c r="AK45" s="14"/>
      <c r="AL45" s="14"/>
      <c r="AM45" s="14"/>
      <c r="AN45" s="14"/>
      <c r="AO45" s="14"/>
      <c r="AP45" s="14"/>
    </row>
    <row r="46" spans="1:42" ht="14.5" x14ac:dyDescent="0.35">
      <c r="A46" s="1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14"/>
      <c r="AH46" s="14"/>
      <c r="AI46" s="14"/>
      <c r="AJ46" s="14"/>
      <c r="AK46" s="14"/>
      <c r="AL46" s="14"/>
      <c r="AM46" s="14"/>
      <c r="AN46" s="14"/>
      <c r="AO46" s="14"/>
      <c r="AP46" s="14"/>
    </row>
    <row r="47" spans="1:42" ht="14.5" x14ac:dyDescent="0.35">
      <c r="A47" s="1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14"/>
      <c r="AH47" s="14"/>
      <c r="AI47" s="14"/>
      <c r="AJ47" s="14"/>
      <c r="AK47" s="14"/>
      <c r="AL47" s="14"/>
      <c r="AM47" s="14"/>
      <c r="AN47" s="14"/>
      <c r="AO47" s="14"/>
      <c r="AP47" s="14"/>
    </row>
    <row r="48" spans="1:42" ht="14.5" x14ac:dyDescent="0.35">
      <c r="A48" s="1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14"/>
      <c r="AH48" s="14"/>
      <c r="AI48" s="14"/>
      <c r="AJ48" s="14"/>
      <c r="AK48" s="14"/>
      <c r="AL48" s="14"/>
      <c r="AM48" s="14"/>
      <c r="AN48" s="14"/>
      <c r="AO48" s="14"/>
      <c r="AP48" s="14"/>
    </row>
    <row r="49" spans="1:42" ht="14.5" x14ac:dyDescent="0.35">
      <c r="A49" s="1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14"/>
      <c r="AH49" s="14"/>
      <c r="AI49" s="14"/>
      <c r="AJ49" s="14"/>
      <c r="AK49" s="14"/>
      <c r="AL49" s="14"/>
      <c r="AM49" s="14"/>
      <c r="AN49" s="14"/>
      <c r="AO49" s="14"/>
      <c r="AP49" s="14"/>
    </row>
    <row r="50" spans="1:42" ht="14.5" x14ac:dyDescent="0.35">
      <c r="A50" s="1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14"/>
      <c r="AH50" s="14"/>
      <c r="AI50" s="14"/>
      <c r="AJ50" s="14"/>
      <c r="AK50" s="14"/>
      <c r="AL50" s="14"/>
      <c r="AM50" s="14"/>
      <c r="AN50" s="14"/>
      <c r="AO50" s="14"/>
      <c r="AP50" s="14"/>
    </row>
    <row r="51" spans="1:42" ht="14.5" x14ac:dyDescent="0.35">
      <c r="A51" s="1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14"/>
      <c r="AH51" s="14"/>
      <c r="AI51" s="14"/>
      <c r="AJ51" s="14"/>
      <c r="AK51" s="14"/>
      <c r="AL51" s="14"/>
      <c r="AM51" s="14"/>
      <c r="AN51" s="14"/>
      <c r="AO51" s="14"/>
      <c r="AP51" s="14"/>
    </row>
    <row r="52" spans="1:42" ht="14.5" x14ac:dyDescent="0.35">
      <c r="A52" s="1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14"/>
      <c r="AH52" s="14"/>
      <c r="AI52" s="14"/>
      <c r="AJ52" s="14"/>
      <c r="AK52" s="14"/>
      <c r="AL52" s="14"/>
      <c r="AM52" s="14"/>
      <c r="AN52" s="14"/>
      <c r="AO52" s="14"/>
      <c r="AP52" s="14"/>
    </row>
    <row r="53" spans="1:42" ht="14.5" x14ac:dyDescent="0.35">
      <c r="A53" s="1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14"/>
      <c r="AH53" s="14"/>
      <c r="AI53" s="14"/>
      <c r="AJ53" s="14"/>
      <c r="AK53" s="14"/>
      <c r="AL53" s="14"/>
      <c r="AM53" s="14"/>
      <c r="AN53" s="14"/>
      <c r="AO53" s="14"/>
      <c r="AP53" s="14"/>
    </row>
    <row r="54" spans="1:42" ht="14.5" x14ac:dyDescent="0.35">
      <c r="A54" s="1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14"/>
      <c r="AH54" s="14"/>
      <c r="AI54" s="14"/>
      <c r="AJ54" s="14"/>
      <c r="AK54" s="14"/>
      <c r="AL54" s="14"/>
      <c r="AM54" s="14"/>
      <c r="AN54" s="14"/>
      <c r="AO54" s="14"/>
      <c r="AP54" s="14"/>
    </row>
    <row r="55" spans="1:42" ht="14.5" x14ac:dyDescent="0.35">
      <c r="A55" s="1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14"/>
      <c r="AH55" s="14"/>
      <c r="AI55" s="14"/>
      <c r="AJ55" s="14"/>
      <c r="AK55" s="14"/>
      <c r="AL55" s="14"/>
      <c r="AM55" s="14"/>
      <c r="AN55" s="14"/>
      <c r="AO55" s="14"/>
      <c r="AP55" s="14"/>
    </row>
    <row r="56" spans="1:42" ht="14.5" x14ac:dyDescent="0.35">
      <c r="A56" s="1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14"/>
      <c r="AH56" s="14"/>
      <c r="AI56" s="14"/>
      <c r="AJ56" s="14"/>
      <c r="AK56" s="14"/>
      <c r="AL56" s="14"/>
      <c r="AM56" s="14"/>
      <c r="AN56" s="14"/>
      <c r="AO56" s="14"/>
      <c r="AP56" s="14"/>
    </row>
    <row r="57" spans="1:42" ht="14.5" x14ac:dyDescent="0.35">
      <c r="A57" s="1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14"/>
      <c r="AH57" s="14"/>
      <c r="AI57" s="14"/>
      <c r="AJ57" s="14"/>
      <c r="AK57" s="14"/>
      <c r="AL57" s="14"/>
      <c r="AM57" s="14"/>
      <c r="AN57" s="14"/>
      <c r="AO57" s="14"/>
      <c r="AP57" s="14"/>
    </row>
    <row r="58" spans="1:42" ht="14.5" x14ac:dyDescent="0.35">
      <c r="A58" s="1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14"/>
      <c r="AH58" s="14"/>
      <c r="AI58" s="14"/>
      <c r="AJ58" s="14"/>
      <c r="AK58" s="14"/>
      <c r="AL58" s="14"/>
      <c r="AM58" s="14"/>
      <c r="AN58" s="14"/>
      <c r="AO58" s="14"/>
      <c r="AP58" s="14"/>
    </row>
    <row r="59" spans="1:42" ht="14.5" x14ac:dyDescent="0.35">
      <c r="A59" s="1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14"/>
      <c r="AH59" s="14"/>
      <c r="AI59" s="14"/>
      <c r="AJ59" s="14"/>
      <c r="AK59" s="14"/>
      <c r="AL59" s="14"/>
      <c r="AM59" s="14"/>
      <c r="AN59" s="14"/>
      <c r="AO59" s="14"/>
      <c r="AP59" s="14"/>
    </row>
    <row r="60" spans="1:42" ht="14.5" x14ac:dyDescent="0.35">
      <c r="A60" s="1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14"/>
      <c r="AH60" s="14"/>
      <c r="AI60" s="14"/>
      <c r="AJ60" s="14"/>
      <c r="AK60" s="14"/>
      <c r="AL60" s="14"/>
      <c r="AM60" s="14"/>
      <c r="AN60" s="14"/>
      <c r="AO60" s="14"/>
      <c r="AP60" s="14"/>
    </row>
    <row r="61" spans="1:42" ht="14.5" x14ac:dyDescent="0.35">
      <c r="A61" s="1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14"/>
      <c r="AH61" s="14"/>
      <c r="AI61" s="14"/>
      <c r="AJ61" s="14"/>
      <c r="AK61" s="14"/>
      <c r="AL61" s="14"/>
      <c r="AM61" s="14"/>
      <c r="AN61" s="14"/>
      <c r="AO61" s="14"/>
      <c r="AP61" s="14"/>
    </row>
    <row r="62" spans="1:42" ht="14.5" x14ac:dyDescent="0.35">
      <c r="A62" s="1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14"/>
      <c r="AH62" s="14"/>
      <c r="AI62" s="14"/>
      <c r="AJ62" s="14"/>
      <c r="AK62" s="14"/>
      <c r="AL62" s="14"/>
      <c r="AM62" s="14"/>
      <c r="AN62" s="14"/>
      <c r="AO62" s="14"/>
      <c r="AP62" s="14"/>
    </row>
    <row r="63" spans="1:42" ht="14.5" x14ac:dyDescent="0.35">
      <c r="A63" s="1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14"/>
      <c r="AH63" s="14"/>
      <c r="AI63" s="14"/>
      <c r="AJ63" s="14"/>
      <c r="AK63" s="14"/>
      <c r="AL63" s="14"/>
      <c r="AM63" s="14"/>
      <c r="AN63" s="14"/>
      <c r="AO63" s="14"/>
      <c r="AP63" s="14"/>
    </row>
    <row r="64" spans="1:42" ht="14.5" x14ac:dyDescent="0.35">
      <c r="A64" s="1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14"/>
      <c r="AH64" s="14"/>
      <c r="AI64" s="14"/>
      <c r="AJ64" s="14"/>
      <c r="AK64" s="14"/>
      <c r="AL64" s="14"/>
      <c r="AM64" s="14"/>
      <c r="AN64" s="14"/>
      <c r="AO64" s="14"/>
      <c r="AP64" s="14"/>
    </row>
    <row r="65" spans="1:42" ht="14.5" x14ac:dyDescent="0.35">
      <c r="A65" s="1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14"/>
      <c r="AH65" s="14"/>
      <c r="AI65" s="14"/>
      <c r="AJ65" s="14"/>
      <c r="AK65" s="14"/>
      <c r="AL65" s="14"/>
      <c r="AM65" s="14"/>
      <c r="AN65" s="14"/>
      <c r="AO65" s="14"/>
      <c r="AP65" s="14"/>
    </row>
    <row r="66" spans="1:42" ht="14.5" x14ac:dyDescent="0.35">
      <c r="A66" s="1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14"/>
      <c r="AH66" s="14"/>
      <c r="AI66" s="14"/>
      <c r="AJ66" s="14"/>
      <c r="AK66" s="14"/>
      <c r="AL66" s="14"/>
      <c r="AM66" s="14"/>
      <c r="AN66" s="14"/>
      <c r="AO66" s="14"/>
      <c r="AP66" s="14"/>
    </row>
    <row r="67" spans="1:42" ht="14.5" x14ac:dyDescent="0.35">
      <c r="A67" s="1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14"/>
      <c r="AH67" s="14"/>
      <c r="AI67" s="14"/>
      <c r="AJ67" s="14"/>
      <c r="AK67" s="14"/>
      <c r="AL67" s="14"/>
      <c r="AM67" s="14"/>
      <c r="AN67" s="14"/>
      <c r="AO67" s="14"/>
      <c r="AP67" s="14"/>
    </row>
    <row r="68" spans="1:42" ht="14.5" x14ac:dyDescent="0.35">
      <c r="A68" s="1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14"/>
      <c r="AH68" s="14"/>
      <c r="AI68" s="14"/>
      <c r="AJ68" s="14"/>
      <c r="AK68" s="14"/>
      <c r="AL68" s="14"/>
      <c r="AM68" s="14"/>
      <c r="AN68" s="14"/>
      <c r="AO68" s="14"/>
      <c r="AP68" s="14"/>
    </row>
    <row r="69" spans="1:42" ht="14.5" x14ac:dyDescent="0.35">
      <c r="A69" s="1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14"/>
      <c r="AH69" s="14"/>
      <c r="AI69" s="14"/>
      <c r="AJ69" s="14"/>
      <c r="AK69" s="14"/>
      <c r="AL69" s="14"/>
      <c r="AM69" s="14"/>
      <c r="AN69" s="14"/>
      <c r="AO69" s="14"/>
      <c r="AP69" s="14"/>
    </row>
    <row r="70" spans="1:42" ht="14.5" x14ac:dyDescent="0.35">
      <c r="A70" s="1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14"/>
      <c r="AH70" s="14"/>
      <c r="AI70" s="14"/>
      <c r="AJ70" s="14"/>
      <c r="AK70" s="14"/>
      <c r="AL70" s="14"/>
      <c r="AM70" s="14"/>
      <c r="AN70" s="14"/>
      <c r="AO70" s="14"/>
      <c r="AP70" s="14"/>
    </row>
    <row r="71" spans="1:42" ht="14.5" x14ac:dyDescent="0.35">
      <c r="A71" s="1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14"/>
      <c r="AH71" s="14"/>
      <c r="AI71" s="14"/>
      <c r="AJ71" s="14"/>
      <c r="AK71" s="14"/>
      <c r="AL71" s="14"/>
      <c r="AM71" s="14"/>
      <c r="AN71" s="14"/>
      <c r="AO71" s="14"/>
      <c r="AP71" s="14"/>
    </row>
    <row r="72" spans="1:42" ht="14.5" x14ac:dyDescent="0.35">
      <c r="A72" s="1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14"/>
      <c r="AH72" s="14"/>
      <c r="AI72" s="14"/>
      <c r="AJ72" s="14"/>
      <c r="AK72" s="14"/>
      <c r="AL72" s="14"/>
      <c r="AM72" s="14"/>
      <c r="AN72" s="14"/>
      <c r="AO72" s="14"/>
      <c r="AP72" s="14"/>
    </row>
    <row r="73" spans="1:42" ht="14.5" x14ac:dyDescent="0.35">
      <c r="A73" s="1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14"/>
      <c r="AH73" s="14"/>
      <c r="AI73" s="14"/>
      <c r="AJ73" s="14"/>
      <c r="AK73" s="14"/>
      <c r="AL73" s="14"/>
      <c r="AM73" s="14"/>
      <c r="AN73" s="14"/>
      <c r="AO73" s="14"/>
      <c r="AP73" s="14"/>
    </row>
    <row r="74" spans="1:42" ht="14.5" x14ac:dyDescent="0.35">
      <c r="A74" s="1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14"/>
      <c r="AH74" s="14"/>
      <c r="AI74" s="14"/>
      <c r="AJ74" s="14"/>
      <c r="AK74" s="14"/>
      <c r="AL74" s="14"/>
      <c r="AM74" s="14"/>
      <c r="AN74" s="14"/>
      <c r="AO74" s="14"/>
      <c r="AP74" s="14"/>
    </row>
    <row r="75" spans="1:42" ht="14.5" x14ac:dyDescent="0.35">
      <c r="A75" s="1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14"/>
      <c r="AH75" s="14"/>
      <c r="AI75" s="14"/>
      <c r="AJ75" s="14"/>
      <c r="AK75" s="14"/>
      <c r="AL75" s="14"/>
      <c r="AM75" s="14"/>
      <c r="AN75" s="14"/>
      <c r="AO75" s="14"/>
      <c r="AP75" s="14"/>
    </row>
    <row r="76" spans="1:42" ht="14.5" x14ac:dyDescent="0.35">
      <c r="A76" s="1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14"/>
      <c r="AH76" s="14"/>
      <c r="AI76" s="14"/>
      <c r="AJ76" s="14"/>
      <c r="AK76" s="14"/>
      <c r="AL76" s="14"/>
      <c r="AM76" s="14"/>
      <c r="AN76" s="14"/>
      <c r="AO76" s="14"/>
      <c r="AP76" s="14"/>
    </row>
    <row r="77" spans="1:42" ht="14.5" x14ac:dyDescent="0.35">
      <c r="A77" s="1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14"/>
      <c r="AH77" s="14"/>
      <c r="AI77" s="14"/>
      <c r="AJ77" s="14"/>
      <c r="AK77" s="14"/>
      <c r="AL77" s="14"/>
      <c r="AM77" s="14"/>
      <c r="AN77" s="14"/>
      <c r="AO77" s="14"/>
      <c r="AP77" s="14"/>
    </row>
    <row r="78" spans="1:42" ht="14.5" x14ac:dyDescent="0.35">
      <c r="A78" s="1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14"/>
      <c r="AH78" s="14"/>
      <c r="AI78" s="14"/>
      <c r="AJ78" s="14"/>
      <c r="AK78" s="14"/>
      <c r="AL78" s="14"/>
      <c r="AM78" s="14"/>
      <c r="AN78" s="14"/>
      <c r="AO78" s="14"/>
      <c r="AP78" s="14"/>
    </row>
    <row r="79" spans="1:42" ht="14.5" x14ac:dyDescent="0.35">
      <c r="A79" s="1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14"/>
      <c r="AH79" s="14"/>
      <c r="AI79" s="14"/>
      <c r="AJ79" s="14"/>
      <c r="AK79" s="14"/>
      <c r="AL79" s="14"/>
      <c r="AM79" s="14"/>
      <c r="AN79" s="14"/>
      <c r="AO79" s="14"/>
      <c r="AP79" s="14"/>
    </row>
    <row r="80" spans="1:42" ht="14.5" x14ac:dyDescent="0.35">
      <c r="A80" s="1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14"/>
      <c r="AH80" s="14"/>
      <c r="AI80" s="14"/>
      <c r="AJ80" s="14"/>
      <c r="AK80" s="14"/>
      <c r="AL80" s="14"/>
      <c r="AM80" s="14"/>
      <c r="AN80" s="14"/>
      <c r="AO80" s="14"/>
      <c r="AP80" s="14"/>
    </row>
    <row r="81" spans="1:42" ht="14.5" x14ac:dyDescent="0.35">
      <c r="A81" s="1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14"/>
      <c r="AH81" s="14"/>
      <c r="AI81" s="14"/>
      <c r="AJ81" s="14"/>
      <c r="AK81" s="14"/>
      <c r="AL81" s="14"/>
      <c r="AM81" s="14"/>
      <c r="AN81" s="14"/>
      <c r="AO81" s="14"/>
      <c r="AP81" s="14"/>
    </row>
    <row r="82" spans="1:42" ht="14.5" x14ac:dyDescent="0.35">
      <c r="A82" s="1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14"/>
      <c r="AH82" s="14"/>
      <c r="AI82" s="14"/>
      <c r="AJ82" s="14"/>
      <c r="AK82" s="14"/>
      <c r="AL82" s="14"/>
      <c r="AM82" s="14"/>
      <c r="AN82" s="14"/>
      <c r="AO82" s="14"/>
      <c r="AP82" s="14"/>
    </row>
    <row r="83" spans="1:42" ht="14.5" x14ac:dyDescent="0.35">
      <c r="A83" s="1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14"/>
      <c r="AH83" s="14"/>
      <c r="AI83" s="14"/>
      <c r="AJ83" s="14"/>
      <c r="AK83" s="14"/>
      <c r="AL83" s="14"/>
      <c r="AM83" s="14"/>
      <c r="AN83" s="14"/>
      <c r="AO83" s="14"/>
      <c r="AP83" s="14"/>
    </row>
    <row r="84" spans="1:42" ht="14.5" x14ac:dyDescent="0.35">
      <c r="A84" s="1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14"/>
      <c r="AH84" s="14"/>
      <c r="AI84" s="14"/>
      <c r="AJ84" s="14"/>
      <c r="AK84" s="14"/>
      <c r="AL84" s="14"/>
      <c r="AM84" s="14"/>
      <c r="AN84" s="14"/>
      <c r="AO84" s="14"/>
      <c r="AP84" s="14"/>
    </row>
    <row r="85" spans="1:42" ht="14.5" x14ac:dyDescent="0.35">
      <c r="A85" s="1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14"/>
      <c r="AH85" s="14"/>
      <c r="AI85" s="14"/>
      <c r="AJ85" s="14"/>
      <c r="AK85" s="14"/>
      <c r="AL85" s="14"/>
      <c r="AM85" s="14"/>
      <c r="AN85" s="14"/>
      <c r="AO85" s="14"/>
      <c r="AP85" s="14"/>
    </row>
    <row r="86" spans="1:42" ht="14.5" x14ac:dyDescent="0.35">
      <c r="A86" s="1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14"/>
      <c r="AH86" s="14"/>
      <c r="AI86" s="14"/>
      <c r="AJ86" s="14"/>
      <c r="AK86" s="14"/>
      <c r="AL86" s="14"/>
      <c r="AM86" s="14"/>
      <c r="AN86" s="14"/>
      <c r="AO86" s="14"/>
      <c r="AP86" s="14"/>
    </row>
    <row r="87" spans="1:42" ht="14.5" x14ac:dyDescent="0.35">
      <c r="A87" s="1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14"/>
      <c r="AH87" s="14"/>
      <c r="AI87" s="14"/>
      <c r="AJ87" s="14"/>
      <c r="AK87" s="14"/>
      <c r="AL87" s="14"/>
      <c r="AM87" s="14"/>
      <c r="AN87" s="14"/>
      <c r="AO87" s="14"/>
      <c r="AP87" s="14"/>
    </row>
    <row r="88" spans="1:42" ht="14.5" x14ac:dyDescent="0.35">
      <c r="A88" s="1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14"/>
      <c r="AH88" s="14"/>
      <c r="AI88" s="14"/>
      <c r="AJ88" s="14"/>
      <c r="AK88" s="14"/>
      <c r="AL88" s="14"/>
      <c r="AM88" s="14"/>
      <c r="AN88" s="14"/>
      <c r="AO88" s="14"/>
      <c r="AP88" s="14"/>
    </row>
    <row r="89" spans="1:42" ht="14.5" x14ac:dyDescent="0.35">
      <c r="A89" s="1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14"/>
      <c r="AH89" s="14"/>
      <c r="AI89" s="14"/>
      <c r="AJ89" s="14"/>
      <c r="AK89" s="14"/>
      <c r="AL89" s="14"/>
      <c r="AM89" s="14"/>
      <c r="AN89" s="14"/>
      <c r="AO89" s="14"/>
      <c r="AP89" s="14"/>
    </row>
    <row r="90" spans="1:42" ht="14.5" x14ac:dyDescent="0.35">
      <c r="A90" s="1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14"/>
      <c r="AH90" s="14"/>
      <c r="AI90" s="14"/>
      <c r="AJ90" s="14"/>
      <c r="AK90" s="14"/>
      <c r="AL90" s="14"/>
      <c r="AM90" s="14"/>
      <c r="AN90" s="14"/>
      <c r="AO90" s="14"/>
      <c r="AP90" s="14"/>
    </row>
    <row r="91" spans="1:42" ht="14.5" x14ac:dyDescent="0.35">
      <c r="A91" s="1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14"/>
      <c r="AH91" s="14"/>
      <c r="AI91" s="14"/>
      <c r="AJ91" s="14"/>
      <c r="AK91" s="14"/>
      <c r="AL91" s="14"/>
      <c r="AM91" s="14"/>
      <c r="AN91" s="14"/>
      <c r="AO91" s="14"/>
      <c r="AP91" s="14"/>
    </row>
    <row r="92" spans="1:42" ht="14.5" x14ac:dyDescent="0.35">
      <c r="A92" s="1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14"/>
      <c r="AH92" s="14"/>
      <c r="AI92" s="14"/>
      <c r="AJ92" s="14"/>
      <c r="AK92" s="14"/>
      <c r="AL92" s="14"/>
      <c r="AM92" s="14"/>
      <c r="AN92" s="14"/>
      <c r="AO92" s="14"/>
      <c r="AP92" s="14"/>
    </row>
    <row r="93" spans="1:42" ht="14.5" x14ac:dyDescent="0.35">
      <c r="A93" s="1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14"/>
      <c r="AH93" s="14"/>
      <c r="AI93" s="14"/>
      <c r="AJ93" s="14"/>
      <c r="AK93" s="14"/>
      <c r="AL93" s="14"/>
      <c r="AM93" s="14"/>
      <c r="AN93" s="14"/>
      <c r="AO93" s="14"/>
      <c r="AP93" s="14"/>
    </row>
    <row r="94" spans="1:42" ht="14.5" x14ac:dyDescent="0.35">
      <c r="A94" s="1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14"/>
      <c r="AH94" s="14"/>
      <c r="AI94" s="14"/>
      <c r="AJ94" s="14"/>
      <c r="AK94" s="14"/>
      <c r="AL94" s="14"/>
      <c r="AM94" s="14"/>
      <c r="AN94" s="14"/>
      <c r="AO94" s="14"/>
      <c r="AP94" s="14"/>
    </row>
    <row r="95" spans="1:42" ht="14.5" x14ac:dyDescent="0.35">
      <c r="A95" s="1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14"/>
      <c r="AH95" s="14"/>
      <c r="AI95" s="14"/>
      <c r="AJ95" s="14"/>
      <c r="AK95" s="14"/>
      <c r="AL95" s="14"/>
      <c r="AM95" s="14"/>
      <c r="AN95" s="14"/>
      <c r="AO95" s="14"/>
      <c r="AP95" s="14"/>
    </row>
    <row r="96" spans="1:42" ht="14.5" x14ac:dyDescent="0.35">
      <c r="A96" s="1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14"/>
      <c r="AH96" s="14"/>
      <c r="AI96" s="14"/>
      <c r="AJ96" s="14"/>
      <c r="AK96" s="14"/>
      <c r="AL96" s="14"/>
      <c r="AM96" s="14"/>
      <c r="AN96" s="14"/>
      <c r="AO96" s="14"/>
      <c r="AP96" s="14"/>
    </row>
    <row r="97" spans="1:42" ht="14.5" x14ac:dyDescent="0.35">
      <c r="A97" s="1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14"/>
      <c r="AH97" s="14"/>
      <c r="AI97" s="14"/>
      <c r="AJ97" s="14"/>
      <c r="AK97" s="14"/>
      <c r="AL97" s="14"/>
      <c r="AM97" s="14"/>
      <c r="AN97" s="14"/>
      <c r="AO97" s="14"/>
      <c r="AP97" s="14"/>
    </row>
    <row r="98" spans="1:42" ht="14.5" x14ac:dyDescent="0.35">
      <c r="A98" s="1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14"/>
      <c r="AH98" s="14"/>
      <c r="AI98" s="14"/>
      <c r="AJ98" s="14"/>
      <c r="AK98" s="14"/>
      <c r="AL98" s="14"/>
      <c r="AM98" s="14"/>
      <c r="AN98" s="14"/>
      <c r="AO98" s="14"/>
      <c r="AP98" s="14"/>
    </row>
    <row r="99" spans="1:42" ht="14.5" x14ac:dyDescent="0.35">
      <c r="A99" s="1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14"/>
      <c r="AH99" s="14"/>
      <c r="AI99" s="14"/>
      <c r="AJ99" s="14"/>
      <c r="AK99" s="14"/>
      <c r="AL99" s="14"/>
      <c r="AM99" s="14"/>
      <c r="AN99" s="14"/>
      <c r="AO99" s="14"/>
      <c r="AP99" s="14"/>
    </row>
    <row r="100" spans="1:42" ht="14.5" x14ac:dyDescent="0.35">
      <c r="A100" s="1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</row>
    <row r="101" spans="1:42" ht="14.5" x14ac:dyDescent="0.35">
      <c r="A101" s="1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</row>
    <row r="102" spans="1:42" ht="14.5" x14ac:dyDescent="0.35">
      <c r="A102" s="1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</row>
    <row r="103" spans="1:42" ht="14.5" x14ac:dyDescent="0.35">
      <c r="A103" s="1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</row>
    <row r="104" spans="1:42" ht="14.5" x14ac:dyDescent="0.35">
      <c r="A104" s="1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</row>
    <row r="105" spans="1:42" ht="14.5" x14ac:dyDescent="0.35">
      <c r="A105" s="1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</row>
    <row r="106" spans="1:42" ht="14.5" x14ac:dyDescent="0.35">
      <c r="A106" s="1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</row>
    <row r="107" spans="1:42" ht="14.5" x14ac:dyDescent="0.35">
      <c r="A107" s="1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</row>
    <row r="108" spans="1:42" ht="14.5" x14ac:dyDescent="0.35">
      <c r="A108" s="1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</row>
    <row r="109" spans="1:42" ht="14.5" x14ac:dyDescent="0.35">
      <c r="A109" s="1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</row>
    <row r="110" spans="1:42" ht="14.5" x14ac:dyDescent="0.35">
      <c r="A110" s="1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</row>
    <row r="111" spans="1:42" ht="14.5" x14ac:dyDescent="0.35">
      <c r="A111" s="1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</row>
    <row r="112" spans="1:42" ht="14.5" x14ac:dyDescent="0.35">
      <c r="A112" s="1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</row>
    <row r="113" spans="1:42" ht="14.5" x14ac:dyDescent="0.35">
      <c r="A113" s="1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</row>
    <row r="114" spans="1:42" ht="14.5" x14ac:dyDescent="0.35">
      <c r="A114" s="1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</row>
    <row r="115" spans="1:42" ht="14.5" x14ac:dyDescent="0.35">
      <c r="A115" s="1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</row>
    <row r="116" spans="1:42" ht="14.5" x14ac:dyDescent="0.35">
      <c r="A116" s="1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</row>
    <row r="117" spans="1:42" ht="14.5" x14ac:dyDescent="0.35">
      <c r="A117" s="1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</row>
    <row r="118" spans="1:42" ht="14.5" x14ac:dyDescent="0.35">
      <c r="A118" s="1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</row>
    <row r="119" spans="1:42" ht="14.5" x14ac:dyDescent="0.35">
      <c r="A119" s="1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</row>
    <row r="120" spans="1:42" ht="14.5" x14ac:dyDescent="0.35">
      <c r="A120" s="1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</row>
    <row r="121" spans="1:42" ht="14.5" x14ac:dyDescent="0.35">
      <c r="A121" s="1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</row>
    <row r="122" spans="1:42" ht="14.5" x14ac:dyDescent="0.35">
      <c r="A122" s="1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</row>
    <row r="123" spans="1:42" ht="14.5" x14ac:dyDescent="0.35">
      <c r="A123" s="1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</row>
    <row r="124" spans="1:42" ht="14.5" x14ac:dyDescent="0.35">
      <c r="A124" s="1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</row>
    <row r="125" spans="1:42" ht="14.5" x14ac:dyDescent="0.35">
      <c r="A125" s="1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</row>
    <row r="126" spans="1:42" ht="14.5" x14ac:dyDescent="0.35">
      <c r="A126" s="1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</row>
    <row r="127" spans="1:42" ht="14.5" x14ac:dyDescent="0.35">
      <c r="A127" s="1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</row>
    <row r="128" spans="1:42" ht="14.5" x14ac:dyDescent="0.35">
      <c r="A128" s="1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</row>
    <row r="129" spans="1:42" ht="14.5" x14ac:dyDescent="0.35">
      <c r="A129" s="1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</row>
    <row r="130" spans="1:42" ht="14.5" x14ac:dyDescent="0.35">
      <c r="A130" s="1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</row>
    <row r="131" spans="1:42" ht="14.5" x14ac:dyDescent="0.35">
      <c r="A131" s="1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</row>
    <row r="132" spans="1:42" ht="14.5" x14ac:dyDescent="0.35">
      <c r="A132" s="1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</row>
    <row r="133" spans="1:42" ht="14.5" x14ac:dyDescent="0.35">
      <c r="A133" s="1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</row>
    <row r="134" spans="1:42" ht="14.5" x14ac:dyDescent="0.35">
      <c r="A134" s="1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</row>
    <row r="135" spans="1:42" ht="14.5" x14ac:dyDescent="0.35">
      <c r="A135" s="1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</row>
    <row r="136" spans="1:42" ht="14.5" x14ac:dyDescent="0.35">
      <c r="A136" s="1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</row>
    <row r="137" spans="1:42" ht="14.5" x14ac:dyDescent="0.35">
      <c r="A137" s="1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</row>
    <row r="138" spans="1:42" ht="14.5" x14ac:dyDescent="0.35">
      <c r="A138" s="1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</row>
    <row r="139" spans="1:42" ht="14.5" x14ac:dyDescent="0.35">
      <c r="A139" s="1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</row>
    <row r="140" spans="1:42" ht="14.5" x14ac:dyDescent="0.35">
      <c r="A140" s="1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</row>
    <row r="141" spans="1:42" ht="14.5" x14ac:dyDescent="0.35">
      <c r="A141" s="1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</row>
    <row r="142" spans="1:42" ht="14.5" x14ac:dyDescent="0.35">
      <c r="A142" s="1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</row>
    <row r="143" spans="1:42" ht="14.5" x14ac:dyDescent="0.35">
      <c r="A143" s="1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</row>
    <row r="144" spans="1:42" ht="14.5" x14ac:dyDescent="0.35">
      <c r="A144" s="1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</row>
    <row r="145" spans="1:42" ht="14.5" x14ac:dyDescent="0.35">
      <c r="A145" s="1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</row>
    <row r="146" spans="1:42" ht="14.5" x14ac:dyDescent="0.35">
      <c r="A146" s="1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</row>
    <row r="147" spans="1:42" ht="14.5" x14ac:dyDescent="0.35">
      <c r="A147" s="1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</row>
    <row r="148" spans="1:42" ht="14.5" x14ac:dyDescent="0.35">
      <c r="A148" s="1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</row>
    <row r="149" spans="1:42" ht="14.5" x14ac:dyDescent="0.35">
      <c r="A149" s="1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</row>
    <row r="150" spans="1:42" ht="14.5" x14ac:dyDescent="0.35">
      <c r="A150" s="1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</row>
    <row r="151" spans="1:42" ht="14.5" x14ac:dyDescent="0.35">
      <c r="A151" s="1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</row>
    <row r="152" spans="1:42" ht="14.5" x14ac:dyDescent="0.35">
      <c r="A152" s="1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</row>
    <row r="153" spans="1:42" ht="14.5" x14ac:dyDescent="0.35">
      <c r="A153" s="1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</row>
    <row r="154" spans="1:42" ht="14.5" x14ac:dyDescent="0.35">
      <c r="A154" s="1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</row>
    <row r="155" spans="1:42" ht="14.5" x14ac:dyDescent="0.35">
      <c r="A155" s="1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</row>
    <row r="156" spans="1:42" ht="14.5" x14ac:dyDescent="0.35">
      <c r="A156" s="1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</row>
    <row r="157" spans="1:42" ht="14.5" x14ac:dyDescent="0.35">
      <c r="A157" s="1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</row>
    <row r="158" spans="1:42" ht="14.5" x14ac:dyDescent="0.35">
      <c r="A158" s="1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</row>
    <row r="159" spans="1:42" ht="14.5" x14ac:dyDescent="0.35">
      <c r="A159" s="1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</row>
    <row r="160" spans="1:42" ht="14.5" x14ac:dyDescent="0.35">
      <c r="A160" s="1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</row>
    <row r="161" spans="1:42" ht="14.5" x14ac:dyDescent="0.35">
      <c r="A161" s="1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</row>
    <row r="162" spans="1:42" ht="14.5" x14ac:dyDescent="0.35">
      <c r="A162" s="1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</row>
    <row r="163" spans="1:42" ht="14.5" x14ac:dyDescent="0.35">
      <c r="A163" s="1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</row>
    <row r="164" spans="1:42" ht="14.5" x14ac:dyDescent="0.35">
      <c r="A164" s="1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</row>
    <row r="165" spans="1:42" ht="14.5" x14ac:dyDescent="0.35">
      <c r="A165" s="1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</row>
    <row r="166" spans="1:42" ht="14.5" x14ac:dyDescent="0.35">
      <c r="A166" s="1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</row>
    <row r="167" spans="1:42" ht="14.5" x14ac:dyDescent="0.35">
      <c r="A167" s="1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</row>
    <row r="168" spans="1:42" ht="14.5" x14ac:dyDescent="0.35">
      <c r="A168" s="1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</row>
    <row r="169" spans="1:42" ht="14.5" x14ac:dyDescent="0.35">
      <c r="A169" s="1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</row>
    <row r="170" spans="1:42" ht="14.5" x14ac:dyDescent="0.35">
      <c r="A170" s="1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</row>
    <row r="171" spans="1:42" ht="14.5" x14ac:dyDescent="0.35">
      <c r="A171" s="1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</row>
    <row r="172" spans="1:42" ht="14.5" x14ac:dyDescent="0.35">
      <c r="A172" s="1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</row>
    <row r="173" spans="1:42" ht="14.5" x14ac:dyDescent="0.35">
      <c r="A173" s="1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</row>
    <row r="174" spans="1:42" ht="14.5" x14ac:dyDescent="0.35">
      <c r="A174" s="1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</row>
    <row r="175" spans="1:42" ht="14.5" x14ac:dyDescent="0.35">
      <c r="A175" s="1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</row>
    <row r="176" spans="1:42" ht="14.5" x14ac:dyDescent="0.35">
      <c r="A176" s="1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</row>
    <row r="177" spans="1:42" ht="14.5" x14ac:dyDescent="0.35">
      <c r="A177" s="1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</row>
    <row r="178" spans="1:42" ht="14.5" x14ac:dyDescent="0.35">
      <c r="A178" s="1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</row>
    <row r="179" spans="1:42" ht="14.5" x14ac:dyDescent="0.35">
      <c r="A179" s="1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</row>
    <row r="180" spans="1:42" ht="14.5" x14ac:dyDescent="0.35">
      <c r="A180" s="1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</row>
    <row r="181" spans="1:42" ht="14.5" x14ac:dyDescent="0.35">
      <c r="A181" s="1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</row>
    <row r="182" spans="1:42" ht="14.5" x14ac:dyDescent="0.35">
      <c r="A182" s="1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</row>
    <row r="183" spans="1:42" ht="14.5" x14ac:dyDescent="0.35">
      <c r="A183" s="1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</row>
    <row r="184" spans="1:42" ht="14.5" x14ac:dyDescent="0.35">
      <c r="A184" s="1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</row>
    <row r="185" spans="1:42" ht="14.5" x14ac:dyDescent="0.35">
      <c r="A185" s="1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</row>
    <row r="186" spans="1:42" ht="14.5" x14ac:dyDescent="0.35">
      <c r="A186" s="1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</row>
    <row r="187" spans="1:42" ht="14.5" x14ac:dyDescent="0.35">
      <c r="A187" s="1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</row>
    <row r="188" spans="1:42" ht="14.5" x14ac:dyDescent="0.35">
      <c r="A188" s="1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</row>
    <row r="189" spans="1:42" ht="14.5" x14ac:dyDescent="0.35">
      <c r="A189" s="1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</row>
    <row r="190" spans="1:42" ht="14.5" x14ac:dyDescent="0.35">
      <c r="A190" s="1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</row>
    <row r="191" spans="1:42" ht="14.5" x14ac:dyDescent="0.35">
      <c r="A191" s="1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</row>
    <row r="192" spans="1:42" ht="14.5" x14ac:dyDescent="0.35">
      <c r="A192" s="1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</row>
    <row r="193" spans="1:42" ht="14.5" x14ac:dyDescent="0.35">
      <c r="A193" s="1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</row>
    <row r="194" spans="1:42" ht="14.5" x14ac:dyDescent="0.35">
      <c r="A194" s="1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</row>
    <row r="195" spans="1:42" ht="14.5" x14ac:dyDescent="0.35">
      <c r="A195" s="1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</row>
    <row r="196" spans="1:42" ht="14.5" x14ac:dyDescent="0.35">
      <c r="A196" s="1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</row>
    <row r="197" spans="1:42" ht="14.5" x14ac:dyDescent="0.35">
      <c r="A197" s="1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</row>
    <row r="198" spans="1:42" ht="14.5" x14ac:dyDescent="0.35">
      <c r="A198" s="1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</row>
    <row r="199" spans="1:42" ht="14.5" x14ac:dyDescent="0.35">
      <c r="A199" s="1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</row>
    <row r="200" spans="1:42" ht="14.5" x14ac:dyDescent="0.35">
      <c r="A200" s="1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</row>
    <row r="201" spans="1:42" ht="14.5" x14ac:dyDescent="0.35">
      <c r="A201" s="1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</row>
    <row r="202" spans="1:42" ht="14.5" x14ac:dyDescent="0.35">
      <c r="A202" s="1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</row>
    <row r="203" spans="1:42" ht="14.5" x14ac:dyDescent="0.35">
      <c r="A203" s="1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</row>
    <row r="204" spans="1:42" ht="14.5" x14ac:dyDescent="0.35">
      <c r="A204" s="1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</row>
    <row r="205" spans="1:42" ht="14.5" x14ac:dyDescent="0.35">
      <c r="A205" s="1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</row>
    <row r="206" spans="1:42" ht="14.5" x14ac:dyDescent="0.35">
      <c r="A206" s="1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</row>
    <row r="207" spans="1:42" ht="14.5" x14ac:dyDescent="0.35">
      <c r="A207" s="1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</row>
    <row r="208" spans="1:42" ht="14.5" x14ac:dyDescent="0.35">
      <c r="A208" s="1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</row>
    <row r="209" spans="1:42" ht="14.5" x14ac:dyDescent="0.35">
      <c r="A209" s="1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</row>
    <row r="210" spans="1:42" ht="14.5" x14ac:dyDescent="0.35">
      <c r="A210" s="1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</row>
    <row r="211" spans="1:42" ht="14.5" x14ac:dyDescent="0.35">
      <c r="A211" s="1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</row>
    <row r="212" spans="1:42" ht="14.5" x14ac:dyDescent="0.35">
      <c r="A212" s="1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</row>
    <row r="213" spans="1:42" ht="14.5" x14ac:dyDescent="0.35">
      <c r="A213" s="1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</row>
    <row r="214" spans="1:42" ht="14.5" x14ac:dyDescent="0.35">
      <c r="A214" s="1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</row>
    <row r="215" spans="1:42" ht="14.5" x14ac:dyDescent="0.35">
      <c r="A215" s="1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</row>
    <row r="216" spans="1:42" ht="14.5" x14ac:dyDescent="0.35">
      <c r="A216" s="1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</row>
    <row r="217" spans="1:42" ht="14.5" x14ac:dyDescent="0.35">
      <c r="A217" s="1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</row>
    <row r="218" spans="1:42" ht="14.5" x14ac:dyDescent="0.35">
      <c r="A218" s="1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</row>
    <row r="219" spans="1:42" ht="14.5" x14ac:dyDescent="0.35">
      <c r="A219" s="1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</row>
    <row r="220" spans="1:42" ht="14.5" x14ac:dyDescent="0.35">
      <c r="A220" s="1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</row>
    <row r="221" spans="1:42" ht="14.5" x14ac:dyDescent="0.35">
      <c r="A221" s="1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</row>
    <row r="222" spans="1:42" ht="14.5" x14ac:dyDescent="0.35">
      <c r="A222" s="1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</row>
    <row r="223" spans="1:42" ht="14.5" x14ac:dyDescent="0.35">
      <c r="A223" s="1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</row>
    <row r="224" spans="1:42" ht="14.5" x14ac:dyDescent="0.35">
      <c r="A224" s="1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</row>
    <row r="225" spans="1:42" ht="14.5" x14ac:dyDescent="0.35">
      <c r="A225" s="1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</row>
    <row r="226" spans="1:42" ht="14.5" x14ac:dyDescent="0.35">
      <c r="A226" s="1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</row>
    <row r="227" spans="1:42" ht="14.5" x14ac:dyDescent="0.35">
      <c r="A227" s="1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</row>
    <row r="228" spans="1:42" ht="14.5" x14ac:dyDescent="0.35">
      <c r="A228" s="1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</row>
    <row r="229" spans="1:42" ht="14.5" x14ac:dyDescent="0.35">
      <c r="A229" s="1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</row>
    <row r="230" spans="1:42" ht="14.5" x14ac:dyDescent="0.35">
      <c r="A230" s="1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</row>
    <row r="231" spans="1:42" ht="14.5" x14ac:dyDescent="0.35">
      <c r="A231" s="1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</row>
    <row r="232" spans="1:42" ht="14.5" x14ac:dyDescent="0.35">
      <c r="A232" s="1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</row>
    <row r="233" spans="1:42" ht="14.5" x14ac:dyDescent="0.35">
      <c r="A233" s="1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</row>
    <row r="234" spans="1:42" ht="14.5" x14ac:dyDescent="0.35">
      <c r="A234" s="1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</row>
    <row r="235" spans="1:42" ht="14.5" x14ac:dyDescent="0.35">
      <c r="A235" s="1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</row>
    <row r="236" spans="1:42" ht="14.5" x14ac:dyDescent="0.35">
      <c r="A236" s="1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</row>
    <row r="237" spans="1:42" ht="14.5" x14ac:dyDescent="0.35">
      <c r="A237" s="1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</row>
    <row r="238" spans="1:42" ht="14.5" x14ac:dyDescent="0.35">
      <c r="A238" s="1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</row>
    <row r="239" spans="1:42" ht="14.5" x14ac:dyDescent="0.35">
      <c r="A239" s="1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</row>
    <row r="240" spans="1:42" ht="14.5" x14ac:dyDescent="0.35">
      <c r="A240" s="1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</row>
    <row r="241" spans="1:42" ht="14.5" x14ac:dyDescent="0.35">
      <c r="A241" s="1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</row>
    <row r="242" spans="1:42" ht="14.5" x14ac:dyDescent="0.35">
      <c r="A242" s="1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</row>
    <row r="243" spans="1:42" ht="14.5" x14ac:dyDescent="0.35">
      <c r="A243" s="1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</row>
    <row r="244" spans="1:42" ht="14.5" x14ac:dyDescent="0.35">
      <c r="A244" s="1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</row>
    <row r="245" spans="1:42" ht="14.5" x14ac:dyDescent="0.35">
      <c r="A245" s="1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</row>
    <row r="246" spans="1:42" ht="14.5" x14ac:dyDescent="0.35">
      <c r="A246" s="1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</row>
    <row r="247" spans="1:42" ht="14.5" x14ac:dyDescent="0.35">
      <c r="A247" s="1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</row>
    <row r="248" spans="1:42" ht="14.5" x14ac:dyDescent="0.35">
      <c r="A248" s="1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</row>
    <row r="249" spans="1:42" ht="14.5" x14ac:dyDescent="0.35">
      <c r="A249" s="1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</row>
    <row r="250" spans="1:42" ht="14.5" x14ac:dyDescent="0.35">
      <c r="A250" s="1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</row>
    <row r="251" spans="1:42" ht="14.5" x14ac:dyDescent="0.35">
      <c r="A251" s="1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</row>
    <row r="252" spans="1:42" ht="14.5" x14ac:dyDescent="0.35">
      <c r="A252" s="1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</row>
    <row r="253" spans="1:42" ht="14.5" x14ac:dyDescent="0.35">
      <c r="A253" s="1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</row>
    <row r="254" spans="1:42" ht="14.5" x14ac:dyDescent="0.35">
      <c r="A254" s="1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</row>
    <row r="255" spans="1:42" ht="14.5" x14ac:dyDescent="0.35">
      <c r="A255" s="1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</row>
    <row r="256" spans="1:42" ht="14.5" x14ac:dyDescent="0.35">
      <c r="A256" s="1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</row>
    <row r="257" spans="1:42" ht="14.5" x14ac:dyDescent="0.35">
      <c r="A257" s="1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</row>
    <row r="258" spans="1:42" ht="14.5" x14ac:dyDescent="0.35">
      <c r="A258" s="1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</row>
    <row r="259" spans="1:42" ht="14.5" x14ac:dyDescent="0.35">
      <c r="A259" s="1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</row>
    <row r="260" spans="1:42" ht="14.5" x14ac:dyDescent="0.35">
      <c r="A260" s="1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</row>
    <row r="261" spans="1:42" ht="14.5" x14ac:dyDescent="0.35">
      <c r="A261" s="1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</row>
    <row r="262" spans="1:42" ht="14.5" x14ac:dyDescent="0.35">
      <c r="A262" s="1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</row>
    <row r="263" spans="1:42" ht="14.5" x14ac:dyDescent="0.35">
      <c r="A263" s="1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</row>
    <row r="264" spans="1:42" ht="14.5" x14ac:dyDescent="0.35">
      <c r="A264" s="1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</row>
    <row r="265" spans="1:42" ht="14.5" x14ac:dyDescent="0.35">
      <c r="A265" s="1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</row>
    <row r="266" spans="1:42" ht="14.5" x14ac:dyDescent="0.35">
      <c r="A266" s="1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</row>
    <row r="267" spans="1:42" ht="14.5" x14ac:dyDescent="0.35">
      <c r="A267" s="1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</row>
    <row r="268" spans="1:42" ht="14.5" x14ac:dyDescent="0.35">
      <c r="A268" s="1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</row>
    <row r="269" spans="1:42" ht="14.5" x14ac:dyDescent="0.35">
      <c r="A269" s="1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</row>
    <row r="270" spans="1:42" ht="14.5" x14ac:dyDescent="0.35">
      <c r="A270" s="1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</row>
    <row r="271" spans="1:42" ht="14.5" x14ac:dyDescent="0.35">
      <c r="A271" s="1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</row>
    <row r="272" spans="1:42" ht="14.5" x14ac:dyDescent="0.35">
      <c r="A272" s="1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</row>
    <row r="273" spans="1:42" ht="14.5" x14ac:dyDescent="0.35">
      <c r="A273" s="1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</row>
    <row r="274" spans="1:42" ht="14.5" x14ac:dyDescent="0.35">
      <c r="A274" s="1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</row>
    <row r="275" spans="1:42" ht="14.5" x14ac:dyDescent="0.35">
      <c r="A275" s="1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</row>
    <row r="276" spans="1:42" ht="14.5" x14ac:dyDescent="0.35">
      <c r="A276" s="1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</row>
    <row r="277" spans="1:42" ht="14.5" x14ac:dyDescent="0.35">
      <c r="A277" s="1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</row>
    <row r="278" spans="1:42" ht="14.5" x14ac:dyDescent="0.35">
      <c r="A278" s="1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</row>
    <row r="279" spans="1:42" ht="14.5" x14ac:dyDescent="0.35">
      <c r="A279" s="1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</row>
    <row r="280" spans="1:42" ht="14.5" x14ac:dyDescent="0.35">
      <c r="A280" s="1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</row>
    <row r="281" spans="1:42" ht="14.5" x14ac:dyDescent="0.35">
      <c r="A281" s="1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</row>
    <row r="282" spans="1:42" ht="14.5" x14ac:dyDescent="0.35">
      <c r="A282" s="1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</row>
    <row r="283" spans="1:42" ht="14.5" x14ac:dyDescent="0.35">
      <c r="A283" s="1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</row>
    <row r="284" spans="1:42" ht="14.5" x14ac:dyDescent="0.35">
      <c r="A284" s="1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</row>
    <row r="285" spans="1:42" ht="14.5" x14ac:dyDescent="0.35">
      <c r="A285" s="1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</row>
    <row r="286" spans="1:42" ht="14.5" x14ac:dyDescent="0.35">
      <c r="A286" s="1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</row>
    <row r="287" spans="1:42" ht="14.5" x14ac:dyDescent="0.35">
      <c r="A287" s="1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</row>
    <row r="288" spans="1:42" ht="14.5" x14ac:dyDescent="0.35">
      <c r="A288" s="1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</row>
    <row r="289" spans="1:42" ht="14.5" x14ac:dyDescent="0.35">
      <c r="A289" s="1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</row>
    <row r="290" spans="1:42" ht="14.5" x14ac:dyDescent="0.35">
      <c r="A290" s="1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</row>
    <row r="291" spans="1:42" ht="14.5" x14ac:dyDescent="0.35">
      <c r="A291" s="1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</row>
    <row r="292" spans="1:42" ht="14.5" x14ac:dyDescent="0.35">
      <c r="A292" s="1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</row>
    <row r="293" spans="1:42" ht="14.5" x14ac:dyDescent="0.35">
      <c r="A293" s="1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</row>
    <row r="294" spans="1:42" ht="14.5" x14ac:dyDescent="0.35">
      <c r="A294" s="1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</row>
    <row r="295" spans="1:42" ht="14.5" x14ac:dyDescent="0.35">
      <c r="A295" s="1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</row>
    <row r="296" spans="1:42" ht="14.5" x14ac:dyDescent="0.35">
      <c r="A296" s="1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</row>
    <row r="297" spans="1:42" ht="14.5" x14ac:dyDescent="0.35">
      <c r="A297" s="1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</row>
    <row r="298" spans="1:42" ht="14.5" x14ac:dyDescent="0.35">
      <c r="A298" s="1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</row>
    <row r="299" spans="1:42" ht="14.5" x14ac:dyDescent="0.35">
      <c r="A299" s="1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</row>
    <row r="300" spans="1:42" ht="14.5" x14ac:dyDescent="0.35">
      <c r="A300" s="1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</row>
    <row r="301" spans="1:42" ht="14.5" x14ac:dyDescent="0.35">
      <c r="A301" s="1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</row>
    <row r="302" spans="1:42" ht="14.5" x14ac:dyDescent="0.35">
      <c r="A302" s="1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</row>
    <row r="303" spans="1:42" ht="14.5" x14ac:dyDescent="0.35">
      <c r="A303" s="1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</row>
    <row r="304" spans="1:42" ht="14.5" x14ac:dyDescent="0.35">
      <c r="A304" s="1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</row>
    <row r="305" spans="1:42" ht="14.5" x14ac:dyDescent="0.35">
      <c r="A305" s="1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</row>
    <row r="306" spans="1:42" ht="14.5" x14ac:dyDescent="0.35">
      <c r="A306" s="1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</row>
    <row r="307" spans="1:42" ht="14.5" x14ac:dyDescent="0.35">
      <c r="A307" s="1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</row>
    <row r="308" spans="1:42" ht="14.5" x14ac:dyDescent="0.35">
      <c r="A308" s="1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</row>
    <row r="309" spans="1:42" ht="14.5" x14ac:dyDescent="0.35">
      <c r="A309" s="1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</row>
    <row r="310" spans="1:42" ht="14.5" x14ac:dyDescent="0.35">
      <c r="A310" s="1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</row>
    <row r="311" spans="1:42" ht="14.5" x14ac:dyDescent="0.35">
      <c r="A311" s="1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</row>
    <row r="312" spans="1:42" ht="14.5" x14ac:dyDescent="0.35">
      <c r="A312" s="1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</row>
    <row r="313" spans="1:42" ht="14.5" x14ac:dyDescent="0.35">
      <c r="A313" s="1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</row>
    <row r="314" spans="1:42" ht="14.5" x14ac:dyDescent="0.35">
      <c r="A314" s="1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</row>
    <row r="315" spans="1:42" ht="14.5" x14ac:dyDescent="0.35">
      <c r="A315" s="1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</row>
    <row r="316" spans="1:42" ht="14.5" x14ac:dyDescent="0.35">
      <c r="A316" s="1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</row>
    <row r="317" spans="1:42" ht="14.5" x14ac:dyDescent="0.35">
      <c r="A317" s="1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</row>
    <row r="318" spans="1:42" ht="14.5" x14ac:dyDescent="0.35">
      <c r="A318" s="1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</row>
    <row r="319" spans="1:42" ht="14.5" x14ac:dyDescent="0.35">
      <c r="A319" s="1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</row>
    <row r="320" spans="1:42" ht="14.5" x14ac:dyDescent="0.35">
      <c r="A320" s="1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</row>
    <row r="321" spans="1:42" ht="14.5" x14ac:dyDescent="0.35">
      <c r="A321" s="1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</row>
    <row r="322" spans="1:42" ht="14.5" x14ac:dyDescent="0.35">
      <c r="A322" s="1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</row>
    <row r="323" spans="1:42" ht="14.5" x14ac:dyDescent="0.35">
      <c r="A323" s="1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</row>
    <row r="324" spans="1:42" ht="14.5" x14ac:dyDescent="0.35">
      <c r="A324" s="1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</row>
    <row r="325" spans="1:42" ht="14.5" x14ac:dyDescent="0.35">
      <c r="A325" s="1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</row>
    <row r="326" spans="1:42" ht="14.5" x14ac:dyDescent="0.35">
      <c r="A326" s="1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</row>
    <row r="327" spans="1:42" ht="14.5" x14ac:dyDescent="0.35">
      <c r="A327" s="1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</row>
    <row r="328" spans="1:42" ht="14.5" x14ac:dyDescent="0.35">
      <c r="A328" s="1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</row>
    <row r="329" spans="1:42" ht="14.5" x14ac:dyDescent="0.35">
      <c r="A329" s="1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</row>
    <row r="330" spans="1:42" ht="14.5" x14ac:dyDescent="0.35">
      <c r="A330" s="1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</row>
    <row r="331" spans="1:42" ht="14.5" x14ac:dyDescent="0.35">
      <c r="A331" s="1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</row>
    <row r="332" spans="1:42" ht="14.5" x14ac:dyDescent="0.35">
      <c r="A332" s="1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</row>
    <row r="333" spans="1:42" ht="14.5" x14ac:dyDescent="0.35">
      <c r="A333" s="1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</row>
    <row r="334" spans="1:42" ht="14.5" x14ac:dyDescent="0.35">
      <c r="A334" s="1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</row>
    <row r="335" spans="1:42" ht="14.5" x14ac:dyDescent="0.35">
      <c r="A335" s="1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</row>
    <row r="336" spans="1:42" ht="14.5" x14ac:dyDescent="0.35">
      <c r="A336" s="1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</row>
    <row r="337" spans="1:42" ht="14.5" x14ac:dyDescent="0.35">
      <c r="A337" s="1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</row>
    <row r="338" spans="1:42" ht="14.5" x14ac:dyDescent="0.35">
      <c r="A338" s="1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</row>
    <row r="339" spans="1:42" ht="14.5" x14ac:dyDescent="0.35">
      <c r="A339" s="1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</row>
    <row r="340" spans="1:42" ht="14.5" x14ac:dyDescent="0.35">
      <c r="A340" s="1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</row>
    <row r="341" spans="1:42" ht="14.5" x14ac:dyDescent="0.35">
      <c r="A341" s="1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</row>
    <row r="342" spans="1:42" ht="14.5" x14ac:dyDescent="0.35">
      <c r="A342" s="1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</row>
    <row r="343" spans="1:42" ht="14.5" x14ac:dyDescent="0.35">
      <c r="A343" s="1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</row>
    <row r="344" spans="1:42" ht="14.5" x14ac:dyDescent="0.35">
      <c r="A344" s="1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</row>
    <row r="345" spans="1:42" ht="14.5" x14ac:dyDescent="0.35">
      <c r="A345" s="1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</row>
    <row r="346" spans="1:42" ht="14.5" x14ac:dyDescent="0.35">
      <c r="A346" s="1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</row>
    <row r="347" spans="1:42" ht="14.5" x14ac:dyDescent="0.35">
      <c r="A347" s="1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</row>
    <row r="348" spans="1:42" ht="14.5" x14ac:dyDescent="0.35">
      <c r="A348" s="1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</row>
    <row r="349" spans="1:42" ht="14.5" x14ac:dyDescent="0.35">
      <c r="A349" s="1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</row>
    <row r="350" spans="1:42" ht="14.5" x14ac:dyDescent="0.35">
      <c r="A350" s="1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</row>
    <row r="351" spans="1:42" ht="14.5" x14ac:dyDescent="0.35">
      <c r="A351" s="1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</row>
    <row r="352" spans="1:42" ht="14.5" x14ac:dyDescent="0.35">
      <c r="A352" s="1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</row>
    <row r="353" spans="1:42" ht="14.5" x14ac:dyDescent="0.35">
      <c r="A353" s="1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</row>
    <row r="354" spans="1:42" ht="14.5" x14ac:dyDescent="0.35">
      <c r="A354" s="1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</row>
    <row r="355" spans="1:42" ht="14.5" x14ac:dyDescent="0.35">
      <c r="A355" s="1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</row>
    <row r="356" spans="1:42" ht="14.5" x14ac:dyDescent="0.35">
      <c r="A356" s="1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</row>
    <row r="357" spans="1:42" ht="14.5" x14ac:dyDescent="0.35">
      <c r="A357" s="1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</row>
    <row r="358" spans="1:42" ht="14.5" x14ac:dyDescent="0.35">
      <c r="A358" s="1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</row>
    <row r="359" spans="1:42" ht="14.5" x14ac:dyDescent="0.35">
      <c r="A359" s="1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</row>
    <row r="360" spans="1:42" ht="14.5" x14ac:dyDescent="0.35">
      <c r="A360" s="1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</row>
    <row r="361" spans="1:42" ht="14.5" x14ac:dyDescent="0.35">
      <c r="A361" s="1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</row>
    <row r="362" spans="1:42" ht="14.5" x14ac:dyDescent="0.35">
      <c r="A362" s="1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</row>
    <row r="363" spans="1:42" ht="14.5" x14ac:dyDescent="0.35">
      <c r="A363" s="1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</row>
    <row r="364" spans="1:42" ht="14.5" x14ac:dyDescent="0.35">
      <c r="A364" s="1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</row>
    <row r="365" spans="1:42" ht="14.5" x14ac:dyDescent="0.35">
      <c r="A365" s="1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</row>
    <row r="366" spans="1:42" ht="14.5" x14ac:dyDescent="0.35">
      <c r="A366" s="1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</row>
    <row r="367" spans="1:42" ht="14.5" x14ac:dyDescent="0.35">
      <c r="A367" s="1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</row>
    <row r="368" spans="1:42" ht="14.5" x14ac:dyDescent="0.35">
      <c r="A368" s="1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</row>
    <row r="369" spans="1:42" ht="14.5" x14ac:dyDescent="0.35">
      <c r="A369" s="1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</row>
    <row r="370" spans="1:42" ht="14.5" x14ac:dyDescent="0.35">
      <c r="A370" s="1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</row>
    <row r="371" spans="1:42" ht="14.5" x14ac:dyDescent="0.35">
      <c r="A371" s="1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</row>
    <row r="372" spans="1:42" ht="14.5" x14ac:dyDescent="0.35">
      <c r="A372" s="1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</row>
    <row r="373" spans="1:42" ht="14.5" x14ac:dyDescent="0.35">
      <c r="A373" s="1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</row>
    <row r="374" spans="1:42" ht="14.5" x14ac:dyDescent="0.35">
      <c r="A374" s="1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</row>
    <row r="375" spans="1:42" ht="14.5" x14ac:dyDescent="0.35">
      <c r="A375" s="1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</row>
    <row r="376" spans="1:42" ht="14.5" x14ac:dyDescent="0.35">
      <c r="A376" s="1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</row>
    <row r="377" spans="1:42" ht="14.5" x14ac:dyDescent="0.35">
      <c r="A377" s="1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</row>
    <row r="378" spans="1:42" ht="14.5" x14ac:dyDescent="0.35">
      <c r="A378" s="1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</row>
    <row r="379" spans="1:42" ht="14.5" x14ac:dyDescent="0.35">
      <c r="A379" s="1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</row>
    <row r="380" spans="1:42" ht="14.5" x14ac:dyDescent="0.35">
      <c r="A380" s="1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</row>
    <row r="381" spans="1:42" ht="14.5" x14ac:dyDescent="0.35">
      <c r="A381" s="1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</row>
    <row r="382" spans="1:42" ht="14.5" x14ac:dyDescent="0.35">
      <c r="A382" s="1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</row>
    <row r="383" spans="1:42" ht="14.5" x14ac:dyDescent="0.35">
      <c r="A383" s="1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</row>
    <row r="384" spans="1:42" ht="14.5" x14ac:dyDescent="0.35">
      <c r="A384" s="1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</row>
    <row r="385" spans="1:42" ht="14.5" x14ac:dyDescent="0.35">
      <c r="A385" s="1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</row>
    <row r="386" spans="1:42" ht="14.5" x14ac:dyDescent="0.35">
      <c r="A386" s="1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</row>
    <row r="387" spans="1:42" ht="14.5" x14ac:dyDescent="0.35">
      <c r="A387" s="1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</row>
    <row r="388" spans="1:42" ht="14.5" x14ac:dyDescent="0.35">
      <c r="A388" s="1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</row>
    <row r="389" spans="1:42" ht="14.5" x14ac:dyDescent="0.35">
      <c r="A389" s="1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</row>
    <row r="390" spans="1:42" ht="14.5" x14ac:dyDescent="0.35">
      <c r="A390" s="1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</row>
    <row r="391" spans="1:42" ht="14.5" x14ac:dyDescent="0.35">
      <c r="A391" s="1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</row>
    <row r="392" spans="1:42" ht="14.5" x14ac:dyDescent="0.35">
      <c r="A392" s="1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</row>
    <row r="393" spans="1:42" ht="14.5" x14ac:dyDescent="0.35">
      <c r="A393" s="1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</row>
    <row r="394" spans="1:42" ht="14.5" x14ac:dyDescent="0.35">
      <c r="A394" s="1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</row>
    <row r="395" spans="1:42" ht="14.5" x14ac:dyDescent="0.35">
      <c r="A395" s="1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</row>
    <row r="396" spans="1:42" ht="14.5" x14ac:dyDescent="0.35">
      <c r="A396" s="1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</row>
    <row r="397" spans="1:42" ht="14.5" x14ac:dyDescent="0.35">
      <c r="A397" s="1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</row>
    <row r="398" spans="1:42" ht="14.5" x14ac:dyDescent="0.35">
      <c r="A398" s="1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</row>
    <row r="399" spans="1:42" ht="14.5" x14ac:dyDescent="0.35">
      <c r="A399" s="1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</row>
    <row r="400" spans="1:42" ht="14.5" x14ac:dyDescent="0.35">
      <c r="A400" s="1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</row>
    <row r="401" spans="1:42" ht="14.5" x14ac:dyDescent="0.35">
      <c r="A401" s="1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</row>
    <row r="402" spans="1:42" ht="14.5" x14ac:dyDescent="0.35">
      <c r="A402" s="1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</row>
    <row r="403" spans="1:42" ht="14.5" x14ac:dyDescent="0.35">
      <c r="A403" s="1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</row>
    <row r="404" spans="1:42" ht="14.5" x14ac:dyDescent="0.35">
      <c r="A404" s="1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</row>
    <row r="405" spans="1:42" ht="14.5" x14ac:dyDescent="0.35">
      <c r="A405" s="1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</row>
    <row r="406" spans="1:42" ht="14.5" x14ac:dyDescent="0.35">
      <c r="A406" s="1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</row>
    <row r="407" spans="1:42" ht="14.5" x14ac:dyDescent="0.35">
      <c r="A407" s="1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</row>
    <row r="408" spans="1:42" ht="14.5" x14ac:dyDescent="0.35">
      <c r="A408" s="1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</row>
    <row r="409" spans="1:42" ht="14.5" x14ac:dyDescent="0.35">
      <c r="A409" s="1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</row>
    <row r="410" spans="1:42" ht="14.5" x14ac:dyDescent="0.35">
      <c r="A410" s="1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</row>
    <row r="411" spans="1:42" ht="14.5" x14ac:dyDescent="0.35">
      <c r="A411" s="1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</row>
    <row r="412" spans="1:42" ht="14.5" x14ac:dyDescent="0.35">
      <c r="A412" s="1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</row>
    <row r="413" spans="1:42" ht="14.5" x14ac:dyDescent="0.35">
      <c r="A413" s="1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</row>
    <row r="414" spans="1:42" ht="14.5" x14ac:dyDescent="0.35">
      <c r="A414" s="1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</row>
    <row r="415" spans="1:42" ht="14.5" x14ac:dyDescent="0.35">
      <c r="A415" s="1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</row>
    <row r="416" spans="1:42" ht="14.5" x14ac:dyDescent="0.35">
      <c r="A416" s="1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</row>
    <row r="417" spans="1:42" ht="14.5" x14ac:dyDescent="0.35">
      <c r="A417" s="1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</row>
    <row r="418" spans="1:42" ht="14.5" x14ac:dyDescent="0.35">
      <c r="A418" s="1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</row>
    <row r="419" spans="1:42" ht="14.5" x14ac:dyDescent="0.35">
      <c r="A419" s="1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</row>
    <row r="420" spans="1:42" ht="14.5" x14ac:dyDescent="0.35">
      <c r="A420" s="1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</row>
    <row r="421" spans="1:42" ht="14.5" x14ac:dyDescent="0.35">
      <c r="A421" s="1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</row>
    <row r="422" spans="1:42" ht="14.5" x14ac:dyDescent="0.35">
      <c r="A422" s="1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</row>
    <row r="423" spans="1:42" ht="14.5" x14ac:dyDescent="0.35">
      <c r="A423" s="1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</row>
    <row r="424" spans="1:42" ht="14.5" x14ac:dyDescent="0.35">
      <c r="A424" s="1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</row>
    <row r="425" spans="1:42" ht="14.5" x14ac:dyDescent="0.35">
      <c r="A425" s="1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</row>
    <row r="426" spans="1:42" ht="14.5" x14ac:dyDescent="0.35">
      <c r="A426" s="1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</row>
    <row r="427" spans="1:42" ht="14.5" x14ac:dyDescent="0.35">
      <c r="A427" s="1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</row>
    <row r="428" spans="1:42" ht="14.5" x14ac:dyDescent="0.35">
      <c r="A428" s="1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</row>
    <row r="429" spans="1:42" ht="14.5" x14ac:dyDescent="0.35">
      <c r="A429" s="1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</row>
    <row r="430" spans="1:42" ht="14.5" x14ac:dyDescent="0.35">
      <c r="A430" s="1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</row>
    <row r="431" spans="1:42" ht="14.5" x14ac:dyDescent="0.35">
      <c r="A431" s="1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</row>
    <row r="432" spans="1:42" ht="14.5" x14ac:dyDescent="0.35">
      <c r="A432" s="1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</row>
    <row r="433" spans="1:42" ht="14.5" x14ac:dyDescent="0.35">
      <c r="A433" s="1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</row>
    <row r="434" spans="1:42" ht="14.5" x14ac:dyDescent="0.35">
      <c r="A434" s="1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</row>
    <row r="435" spans="1:42" ht="14.5" x14ac:dyDescent="0.35">
      <c r="A435" s="1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</row>
    <row r="436" spans="1:42" ht="14.5" x14ac:dyDescent="0.35">
      <c r="A436" s="1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</row>
    <row r="437" spans="1:42" ht="14.5" x14ac:dyDescent="0.35">
      <c r="A437" s="1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</row>
    <row r="438" spans="1:42" ht="14.5" x14ac:dyDescent="0.35">
      <c r="A438" s="1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</row>
    <row r="439" spans="1:42" ht="14.5" x14ac:dyDescent="0.35">
      <c r="A439" s="1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</row>
    <row r="440" spans="1:42" ht="14.5" x14ac:dyDescent="0.35">
      <c r="A440" s="1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</row>
    <row r="441" spans="1:42" ht="14.5" x14ac:dyDescent="0.35">
      <c r="A441" s="1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</row>
    <row r="442" spans="1:42" ht="14.5" x14ac:dyDescent="0.35">
      <c r="A442" s="1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</row>
    <row r="443" spans="1:42" ht="14.5" x14ac:dyDescent="0.35">
      <c r="A443" s="1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</row>
    <row r="444" spans="1:42" ht="14.5" x14ac:dyDescent="0.35">
      <c r="A444" s="1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</row>
    <row r="445" spans="1:42" ht="14.5" x14ac:dyDescent="0.35">
      <c r="A445" s="1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</row>
    <row r="446" spans="1:42" ht="14.5" x14ac:dyDescent="0.35">
      <c r="A446" s="1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</row>
    <row r="447" spans="1:42" ht="14.5" x14ac:dyDescent="0.35">
      <c r="A447" s="1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</row>
    <row r="448" spans="1:42" ht="14.5" x14ac:dyDescent="0.35">
      <c r="A448" s="1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</row>
    <row r="449" spans="1:42" ht="14.5" x14ac:dyDescent="0.35">
      <c r="A449" s="1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</row>
    <row r="450" spans="1:42" ht="14.5" x14ac:dyDescent="0.35">
      <c r="A450" s="1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</row>
    <row r="451" spans="1:42" ht="14.5" x14ac:dyDescent="0.35">
      <c r="A451" s="1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</row>
    <row r="452" spans="1:42" ht="14.5" x14ac:dyDescent="0.35">
      <c r="A452" s="1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</row>
    <row r="453" spans="1:42" ht="14.5" x14ac:dyDescent="0.35">
      <c r="A453" s="1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</row>
    <row r="454" spans="1:42" ht="14.5" x14ac:dyDescent="0.35">
      <c r="A454" s="1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</row>
    <row r="455" spans="1:42" ht="14.5" x14ac:dyDescent="0.35">
      <c r="A455" s="1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</row>
    <row r="456" spans="1:42" ht="14.5" x14ac:dyDescent="0.35">
      <c r="A456" s="1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</row>
    <row r="457" spans="1:42" ht="14.5" x14ac:dyDescent="0.35">
      <c r="A457" s="1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</row>
    <row r="458" spans="1:42" ht="14.5" x14ac:dyDescent="0.35">
      <c r="A458" s="1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</row>
    <row r="459" spans="1:42" ht="14.5" x14ac:dyDescent="0.35">
      <c r="A459" s="1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</row>
    <row r="460" spans="1:42" ht="14.5" x14ac:dyDescent="0.35">
      <c r="A460" s="1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</row>
    <row r="461" spans="1:42" ht="14.5" x14ac:dyDescent="0.35">
      <c r="A461" s="1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</row>
    <row r="462" spans="1:42" ht="14.5" x14ac:dyDescent="0.35">
      <c r="A462" s="1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</row>
    <row r="463" spans="1:42" ht="14.5" x14ac:dyDescent="0.35">
      <c r="A463" s="1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</row>
    <row r="464" spans="1:42" ht="14.5" x14ac:dyDescent="0.35">
      <c r="A464" s="1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</row>
    <row r="465" spans="1:42" ht="14.5" x14ac:dyDescent="0.35">
      <c r="A465" s="1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</row>
    <row r="466" spans="1:42" ht="14.5" x14ac:dyDescent="0.35">
      <c r="A466" s="1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</row>
    <row r="467" spans="1:42" ht="14.5" x14ac:dyDescent="0.35">
      <c r="A467" s="1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</row>
    <row r="468" spans="1:42" ht="14.5" x14ac:dyDescent="0.35">
      <c r="A468" s="1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</row>
    <row r="469" spans="1:42" ht="14.5" x14ac:dyDescent="0.35">
      <c r="A469" s="1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</row>
    <row r="470" spans="1:42" ht="14.5" x14ac:dyDescent="0.35">
      <c r="A470" s="1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</row>
    <row r="471" spans="1:42" ht="14.5" x14ac:dyDescent="0.35">
      <c r="A471" s="1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</row>
    <row r="472" spans="1:42" ht="14.5" x14ac:dyDescent="0.35">
      <c r="A472" s="1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</row>
    <row r="473" spans="1:42" ht="14.5" x14ac:dyDescent="0.35">
      <c r="A473" s="1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</row>
    <row r="474" spans="1:42" ht="14.5" x14ac:dyDescent="0.35">
      <c r="A474" s="1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</row>
    <row r="475" spans="1:42" ht="14.5" x14ac:dyDescent="0.35">
      <c r="A475" s="1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</row>
    <row r="476" spans="1:42" ht="14.5" x14ac:dyDescent="0.35">
      <c r="A476" s="1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</row>
    <row r="477" spans="1:42" ht="14.5" x14ac:dyDescent="0.35">
      <c r="A477" s="1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</row>
    <row r="478" spans="1:42" ht="14.5" x14ac:dyDescent="0.35">
      <c r="A478" s="1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</row>
    <row r="479" spans="1:42" ht="14.5" x14ac:dyDescent="0.35">
      <c r="A479" s="1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</row>
    <row r="480" spans="1:42" ht="14.5" x14ac:dyDescent="0.35">
      <c r="A480" s="1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</row>
    <row r="481" spans="1:42" ht="14.5" x14ac:dyDescent="0.35">
      <c r="A481" s="1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</row>
    <row r="482" spans="1:42" ht="14.5" x14ac:dyDescent="0.35">
      <c r="A482" s="1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</row>
    <row r="483" spans="1:42" ht="14.5" x14ac:dyDescent="0.35">
      <c r="A483" s="1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</row>
    <row r="484" spans="1:42" ht="14.5" x14ac:dyDescent="0.35">
      <c r="A484" s="1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</row>
    <row r="485" spans="1:42" ht="14.5" x14ac:dyDescent="0.35">
      <c r="A485" s="1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</row>
    <row r="486" spans="1:42" ht="14.5" x14ac:dyDescent="0.35">
      <c r="A486" s="1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</row>
    <row r="487" spans="1:42" ht="14.5" x14ac:dyDescent="0.35">
      <c r="A487" s="1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</row>
    <row r="488" spans="1:42" ht="14.5" x14ac:dyDescent="0.35">
      <c r="A488" s="1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</row>
    <row r="489" spans="1:42" ht="14.5" x14ac:dyDescent="0.35">
      <c r="A489" s="1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</row>
    <row r="490" spans="1:42" ht="14.5" x14ac:dyDescent="0.35">
      <c r="A490" s="1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</row>
    <row r="491" spans="1:42" ht="14.5" x14ac:dyDescent="0.35">
      <c r="A491" s="1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</row>
    <row r="492" spans="1:42" ht="14.5" x14ac:dyDescent="0.35">
      <c r="A492" s="1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</row>
    <row r="493" spans="1:42" ht="14.5" x14ac:dyDescent="0.35">
      <c r="A493" s="1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</row>
    <row r="494" spans="1:42" ht="14.5" x14ac:dyDescent="0.35">
      <c r="A494" s="1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</row>
    <row r="495" spans="1:42" ht="14.5" x14ac:dyDescent="0.35">
      <c r="A495" s="1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</row>
    <row r="496" spans="1:42" ht="14.5" x14ac:dyDescent="0.35">
      <c r="A496" s="1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</row>
    <row r="497" spans="1:42" ht="14.5" x14ac:dyDescent="0.35">
      <c r="A497" s="1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</row>
    <row r="498" spans="1:42" ht="14.5" x14ac:dyDescent="0.35">
      <c r="A498" s="1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</row>
    <row r="499" spans="1:42" ht="14.5" x14ac:dyDescent="0.35">
      <c r="A499" s="1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</row>
    <row r="500" spans="1:42" ht="14.5" x14ac:dyDescent="0.35">
      <c r="A500" s="1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</row>
    <row r="501" spans="1:42" ht="14.5" x14ac:dyDescent="0.35">
      <c r="A501" s="1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</row>
    <row r="502" spans="1:42" ht="14.5" x14ac:dyDescent="0.35">
      <c r="A502" s="1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</row>
    <row r="503" spans="1:42" ht="14.5" x14ac:dyDescent="0.35">
      <c r="A503" s="1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</row>
    <row r="504" spans="1:42" ht="14.5" x14ac:dyDescent="0.35">
      <c r="A504" s="1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</row>
    <row r="505" spans="1:42" ht="14.5" x14ac:dyDescent="0.35">
      <c r="A505" s="1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</row>
    <row r="506" spans="1:42" ht="14.5" x14ac:dyDescent="0.35">
      <c r="A506" s="1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</row>
    <row r="507" spans="1:42" ht="14.5" x14ac:dyDescent="0.35">
      <c r="A507" s="1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</row>
    <row r="508" spans="1:42" ht="14.5" x14ac:dyDescent="0.35">
      <c r="A508" s="1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</row>
    <row r="509" spans="1:42" ht="14.5" x14ac:dyDescent="0.35">
      <c r="A509" s="1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</row>
    <row r="510" spans="1:42" ht="14.5" x14ac:dyDescent="0.35">
      <c r="A510" s="1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</row>
    <row r="511" spans="1:42" ht="14.5" x14ac:dyDescent="0.35">
      <c r="A511" s="1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</row>
    <row r="512" spans="1:42" ht="14.5" x14ac:dyDescent="0.35">
      <c r="A512" s="1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</row>
    <row r="513" spans="1:42" ht="14.5" x14ac:dyDescent="0.35">
      <c r="A513" s="1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</row>
    <row r="514" spans="1:42" ht="14.5" x14ac:dyDescent="0.35">
      <c r="A514" s="1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</row>
    <row r="515" spans="1:42" ht="14.5" x14ac:dyDescent="0.35">
      <c r="A515" s="1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</row>
    <row r="516" spans="1:42" ht="14.5" x14ac:dyDescent="0.35">
      <c r="A516" s="1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</row>
    <row r="517" spans="1:42" ht="14.5" x14ac:dyDescent="0.35">
      <c r="A517" s="1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</row>
    <row r="518" spans="1:42" ht="14.5" x14ac:dyDescent="0.35">
      <c r="A518" s="1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</row>
    <row r="519" spans="1:42" ht="14.5" x14ac:dyDescent="0.35">
      <c r="A519" s="1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</row>
    <row r="520" spans="1:42" ht="14.5" x14ac:dyDescent="0.35">
      <c r="A520" s="1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</row>
    <row r="521" spans="1:42" ht="14.5" x14ac:dyDescent="0.35">
      <c r="A521" s="1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</row>
    <row r="522" spans="1:42" ht="14.5" x14ac:dyDescent="0.35">
      <c r="A522" s="1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</row>
    <row r="523" spans="1:42" ht="14.5" x14ac:dyDescent="0.35">
      <c r="A523" s="1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</row>
    <row r="524" spans="1:42" ht="14.5" x14ac:dyDescent="0.35">
      <c r="A524" s="1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</row>
    <row r="525" spans="1:42" ht="14.5" x14ac:dyDescent="0.35">
      <c r="A525" s="1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</row>
    <row r="526" spans="1:42" ht="14.5" x14ac:dyDescent="0.35">
      <c r="A526" s="1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</row>
    <row r="527" spans="1:42" ht="14.5" x14ac:dyDescent="0.35">
      <c r="A527" s="1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</row>
    <row r="528" spans="1:42" ht="14.5" x14ac:dyDescent="0.35">
      <c r="A528" s="1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</row>
    <row r="529" spans="1:42" ht="14.5" x14ac:dyDescent="0.35">
      <c r="A529" s="1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</row>
    <row r="530" spans="1:42" ht="14.5" x14ac:dyDescent="0.35">
      <c r="A530" s="1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</row>
    <row r="531" spans="1:42" ht="14.5" x14ac:dyDescent="0.35">
      <c r="A531" s="1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</row>
    <row r="532" spans="1:42" ht="14.5" x14ac:dyDescent="0.35">
      <c r="A532" s="1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</row>
    <row r="533" spans="1:42" ht="14.5" x14ac:dyDescent="0.35">
      <c r="A533" s="1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</row>
    <row r="534" spans="1:42" ht="14.5" x14ac:dyDescent="0.35">
      <c r="A534" s="1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</row>
    <row r="535" spans="1:42" ht="14.5" x14ac:dyDescent="0.35">
      <c r="A535" s="1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</row>
    <row r="536" spans="1:42" ht="14.5" x14ac:dyDescent="0.35">
      <c r="A536" s="1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</row>
    <row r="537" spans="1:42" ht="14.5" x14ac:dyDescent="0.35">
      <c r="A537" s="1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</row>
    <row r="538" spans="1:42" ht="14.5" x14ac:dyDescent="0.35">
      <c r="A538" s="1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</row>
    <row r="539" spans="1:42" ht="14.5" x14ac:dyDescent="0.35">
      <c r="A539" s="1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</row>
    <row r="540" spans="1:42" ht="14.5" x14ac:dyDescent="0.35">
      <c r="A540" s="1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</row>
    <row r="541" spans="1:42" ht="14.5" x14ac:dyDescent="0.35">
      <c r="A541" s="1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</row>
    <row r="542" spans="1:42" ht="14.5" x14ac:dyDescent="0.35">
      <c r="A542" s="1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</row>
    <row r="543" spans="1:42" ht="14.5" x14ac:dyDescent="0.35">
      <c r="A543" s="1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</row>
    <row r="544" spans="1:42" ht="14.5" x14ac:dyDescent="0.35">
      <c r="A544" s="1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</row>
    <row r="545" spans="1:42" ht="14.5" x14ac:dyDescent="0.35">
      <c r="A545" s="1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</row>
    <row r="546" spans="1:42" ht="14.5" x14ac:dyDescent="0.35">
      <c r="A546" s="1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</row>
    <row r="547" spans="1:42" ht="14.5" x14ac:dyDescent="0.35">
      <c r="A547" s="1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</row>
    <row r="548" spans="1:42" ht="14.5" x14ac:dyDescent="0.35">
      <c r="A548" s="1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</row>
    <row r="549" spans="1:42" ht="14.5" x14ac:dyDescent="0.35">
      <c r="A549" s="1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</row>
    <row r="550" spans="1:42" ht="14.5" x14ac:dyDescent="0.35">
      <c r="A550" s="1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</row>
    <row r="551" spans="1:42" ht="14.5" x14ac:dyDescent="0.35">
      <c r="A551" s="1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</row>
    <row r="552" spans="1:42" ht="14.5" x14ac:dyDescent="0.35">
      <c r="A552" s="1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</row>
    <row r="553" spans="1:42" ht="14.5" x14ac:dyDescent="0.35">
      <c r="A553" s="1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</row>
    <row r="554" spans="1:42" ht="14.5" x14ac:dyDescent="0.35">
      <c r="A554" s="1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</row>
    <row r="555" spans="1:42" ht="14.5" x14ac:dyDescent="0.35">
      <c r="A555" s="1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</row>
    <row r="556" spans="1:42" ht="14.5" x14ac:dyDescent="0.35">
      <c r="A556" s="1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</row>
    <row r="557" spans="1:42" ht="14.5" x14ac:dyDescent="0.35">
      <c r="A557" s="1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</row>
    <row r="558" spans="1:42" ht="14.5" x14ac:dyDescent="0.35">
      <c r="A558" s="1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</row>
    <row r="559" spans="1:42" ht="14.5" x14ac:dyDescent="0.35">
      <c r="A559" s="1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</row>
    <row r="560" spans="1:42" ht="14.5" x14ac:dyDescent="0.35">
      <c r="A560" s="1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</row>
    <row r="561" spans="1:42" ht="14.5" x14ac:dyDescent="0.35">
      <c r="A561" s="1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</row>
    <row r="562" spans="1:42" ht="14.5" x14ac:dyDescent="0.35">
      <c r="A562" s="1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</row>
    <row r="563" spans="1:42" ht="14.5" x14ac:dyDescent="0.35">
      <c r="A563" s="1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</row>
    <row r="564" spans="1:42" ht="14.5" x14ac:dyDescent="0.35">
      <c r="A564" s="1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</row>
    <row r="565" spans="1:42" ht="14.5" x14ac:dyDescent="0.35">
      <c r="A565" s="1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</row>
    <row r="566" spans="1:42" ht="14.5" x14ac:dyDescent="0.35">
      <c r="A566" s="1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</row>
    <row r="567" spans="1:42" ht="14.5" x14ac:dyDescent="0.35">
      <c r="A567" s="1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</row>
    <row r="568" spans="1:42" ht="14.5" x14ac:dyDescent="0.35">
      <c r="A568" s="1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</row>
    <row r="569" spans="1:42" ht="14.5" x14ac:dyDescent="0.35">
      <c r="A569" s="1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</row>
    <row r="570" spans="1:42" ht="14.5" x14ac:dyDescent="0.35">
      <c r="A570" s="1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</row>
    <row r="571" spans="1:42" ht="14.5" x14ac:dyDescent="0.35">
      <c r="A571" s="1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</row>
    <row r="572" spans="1:42" ht="14.5" x14ac:dyDescent="0.35">
      <c r="A572" s="1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</row>
    <row r="573" spans="1:42" ht="14.5" x14ac:dyDescent="0.35">
      <c r="A573" s="1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</row>
    <row r="574" spans="1:42" ht="14.5" x14ac:dyDescent="0.35">
      <c r="A574" s="1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</row>
    <row r="575" spans="1:42" ht="14.5" x14ac:dyDescent="0.35">
      <c r="A575" s="1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</row>
    <row r="576" spans="1:42" ht="14.5" x14ac:dyDescent="0.35">
      <c r="A576" s="1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</row>
    <row r="577" spans="1:42" ht="14.5" x14ac:dyDescent="0.35">
      <c r="A577" s="1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</row>
    <row r="578" spans="1:42" ht="14.5" x14ac:dyDescent="0.35">
      <c r="A578" s="1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</row>
    <row r="579" spans="1:42" ht="14.5" x14ac:dyDescent="0.35">
      <c r="A579" s="1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</row>
    <row r="580" spans="1:42" ht="14.5" x14ac:dyDescent="0.35">
      <c r="A580" s="1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</row>
    <row r="581" spans="1:42" ht="14.5" x14ac:dyDescent="0.35">
      <c r="A581" s="1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</row>
    <row r="582" spans="1:42" ht="14.5" x14ac:dyDescent="0.35">
      <c r="A582" s="1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</row>
    <row r="583" spans="1:42" ht="14.5" x14ac:dyDescent="0.35">
      <c r="A583" s="1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</row>
    <row r="584" spans="1:42" ht="14.5" x14ac:dyDescent="0.35">
      <c r="A584" s="1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</row>
    <row r="585" spans="1:42" ht="14.5" x14ac:dyDescent="0.35">
      <c r="A585" s="1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</row>
    <row r="586" spans="1:42" ht="14.5" x14ac:dyDescent="0.35">
      <c r="A586" s="1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</row>
    <row r="587" spans="1:42" ht="14.5" x14ac:dyDescent="0.35">
      <c r="A587" s="1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</row>
    <row r="588" spans="1:42" ht="14.5" x14ac:dyDescent="0.35">
      <c r="A588" s="1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</row>
    <row r="589" spans="1:42" ht="14.5" x14ac:dyDescent="0.35">
      <c r="A589" s="1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</row>
    <row r="590" spans="1:42" ht="14.5" x14ac:dyDescent="0.35">
      <c r="A590" s="1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</row>
    <row r="591" spans="1:42" ht="14.5" x14ac:dyDescent="0.35">
      <c r="A591" s="1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</row>
    <row r="592" spans="1:42" ht="14.5" x14ac:dyDescent="0.35">
      <c r="A592" s="1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</row>
    <row r="593" spans="1:42" ht="14.5" x14ac:dyDescent="0.35">
      <c r="A593" s="1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</row>
    <row r="594" spans="1:42" ht="14.5" x14ac:dyDescent="0.35">
      <c r="A594" s="1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</row>
    <row r="595" spans="1:42" ht="14.5" x14ac:dyDescent="0.35">
      <c r="A595" s="1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</row>
    <row r="596" spans="1:42" ht="14.5" x14ac:dyDescent="0.35">
      <c r="A596" s="1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</row>
    <row r="597" spans="1:42" ht="14.5" x14ac:dyDescent="0.35">
      <c r="A597" s="1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</row>
    <row r="598" spans="1:42" ht="14.5" x14ac:dyDescent="0.35">
      <c r="A598" s="1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</row>
    <row r="599" spans="1:42" ht="14.5" x14ac:dyDescent="0.35">
      <c r="A599" s="1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</row>
    <row r="600" spans="1:42" ht="14.5" x14ac:dyDescent="0.35">
      <c r="A600" s="1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</row>
    <row r="601" spans="1:42" ht="14.5" x14ac:dyDescent="0.35">
      <c r="A601" s="1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</row>
    <row r="602" spans="1:42" ht="14.5" x14ac:dyDescent="0.35">
      <c r="A602" s="1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</row>
    <row r="603" spans="1:42" ht="14.5" x14ac:dyDescent="0.35">
      <c r="A603" s="1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</row>
    <row r="604" spans="1:42" ht="14.5" x14ac:dyDescent="0.35">
      <c r="A604" s="1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</row>
    <row r="605" spans="1:42" ht="14.5" x14ac:dyDescent="0.35">
      <c r="A605" s="1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</row>
    <row r="606" spans="1:42" ht="14.5" x14ac:dyDescent="0.35">
      <c r="A606" s="1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</row>
    <row r="607" spans="1:42" ht="14.5" x14ac:dyDescent="0.35">
      <c r="A607" s="1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</row>
    <row r="608" spans="1:42" ht="14.5" x14ac:dyDescent="0.35">
      <c r="A608" s="1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</row>
    <row r="609" spans="1:42" ht="14.5" x14ac:dyDescent="0.35">
      <c r="A609" s="1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</row>
    <row r="610" spans="1:42" ht="14.5" x14ac:dyDescent="0.35">
      <c r="A610" s="1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</row>
    <row r="611" spans="1:42" ht="14.5" x14ac:dyDescent="0.35">
      <c r="A611" s="1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</row>
    <row r="612" spans="1:42" ht="14.5" x14ac:dyDescent="0.35">
      <c r="A612" s="1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</row>
    <row r="613" spans="1:42" ht="14.5" x14ac:dyDescent="0.35">
      <c r="A613" s="1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</row>
    <row r="614" spans="1:42" ht="14.5" x14ac:dyDescent="0.35">
      <c r="A614" s="1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</row>
    <row r="615" spans="1:42" ht="14.5" x14ac:dyDescent="0.35">
      <c r="A615" s="1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</row>
    <row r="616" spans="1:42" ht="14.5" x14ac:dyDescent="0.35">
      <c r="A616" s="1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</row>
    <row r="617" spans="1:42" ht="14.5" x14ac:dyDescent="0.35">
      <c r="A617" s="1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</row>
    <row r="618" spans="1:42" ht="14.5" x14ac:dyDescent="0.35">
      <c r="A618" s="1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</row>
    <row r="619" spans="1:42" ht="14.5" x14ac:dyDescent="0.35">
      <c r="A619" s="1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</row>
    <row r="620" spans="1:42" ht="14.5" x14ac:dyDescent="0.35">
      <c r="A620" s="1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</row>
    <row r="621" spans="1:42" ht="14.5" x14ac:dyDescent="0.35">
      <c r="A621" s="1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</row>
    <row r="622" spans="1:42" ht="14.5" x14ac:dyDescent="0.35">
      <c r="A622" s="1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</row>
    <row r="623" spans="1:42" ht="14.5" x14ac:dyDescent="0.35">
      <c r="A623" s="1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</row>
    <row r="624" spans="1:42" ht="14.5" x14ac:dyDescent="0.35">
      <c r="A624" s="1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</row>
    <row r="625" spans="1:42" ht="14.5" x14ac:dyDescent="0.35">
      <c r="A625" s="1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</row>
    <row r="626" spans="1:42" ht="14.5" x14ac:dyDescent="0.35">
      <c r="A626" s="1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</row>
    <row r="627" spans="1:42" ht="14.5" x14ac:dyDescent="0.35">
      <c r="A627" s="1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</row>
    <row r="628" spans="1:42" ht="14.5" x14ac:dyDescent="0.35">
      <c r="A628" s="1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</row>
    <row r="629" spans="1:42" ht="14.5" x14ac:dyDescent="0.35">
      <c r="A629" s="1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</row>
    <row r="630" spans="1:42" ht="14.5" x14ac:dyDescent="0.35">
      <c r="A630" s="1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</row>
    <row r="631" spans="1:42" ht="14.5" x14ac:dyDescent="0.35">
      <c r="A631" s="1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</row>
    <row r="632" spans="1:42" ht="14.5" x14ac:dyDescent="0.35">
      <c r="A632" s="1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</row>
    <row r="633" spans="1:42" ht="14.5" x14ac:dyDescent="0.35">
      <c r="A633" s="1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</row>
    <row r="634" spans="1:42" ht="14.5" x14ac:dyDescent="0.35">
      <c r="A634" s="1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</row>
    <row r="635" spans="1:42" ht="14.5" x14ac:dyDescent="0.35">
      <c r="A635" s="1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</row>
    <row r="636" spans="1:42" ht="14.5" x14ac:dyDescent="0.35">
      <c r="A636" s="1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</row>
    <row r="637" spans="1:42" ht="14.5" x14ac:dyDescent="0.35">
      <c r="A637" s="1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</row>
    <row r="638" spans="1:42" ht="14.5" x14ac:dyDescent="0.35">
      <c r="A638" s="1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</row>
    <row r="639" spans="1:42" ht="14.5" x14ac:dyDescent="0.35">
      <c r="A639" s="1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</row>
    <row r="640" spans="1:42" ht="14.5" x14ac:dyDescent="0.35">
      <c r="A640" s="1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</row>
    <row r="641" spans="1:42" ht="14.5" x14ac:dyDescent="0.35">
      <c r="A641" s="1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</row>
    <row r="642" spans="1:42" ht="14.5" x14ac:dyDescent="0.35">
      <c r="A642" s="1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</row>
    <row r="643" spans="1:42" ht="14.5" x14ac:dyDescent="0.35">
      <c r="A643" s="1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</row>
    <row r="644" spans="1:42" ht="14.5" x14ac:dyDescent="0.35">
      <c r="A644" s="1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</row>
    <row r="645" spans="1:42" ht="14.5" x14ac:dyDescent="0.35">
      <c r="A645" s="1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</row>
    <row r="646" spans="1:42" ht="14.5" x14ac:dyDescent="0.35">
      <c r="A646" s="1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</row>
    <row r="647" spans="1:42" ht="14.5" x14ac:dyDescent="0.35">
      <c r="A647" s="1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</row>
    <row r="648" spans="1:42" ht="14.5" x14ac:dyDescent="0.35">
      <c r="A648" s="1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</row>
    <row r="649" spans="1:42" ht="14.5" x14ac:dyDescent="0.35">
      <c r="A649" s="1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</row>
    <row r="650" spans="1:42" ht="14.5" x14ac:dyDescent="0.35">
      <c r="A650" s="1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</row>
    <row r="651" spans="1:42" ht="14.5" x14ac:dyDescent="0.35">
      <c r="A651" s="1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</row>
    <row r="652" spans="1:42" ht="14.5" x14ac:dyDescent="0.35">
      <c r="A652" s="1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</row>
    <row r="653" spans="1:42" ht="14.5" x14ac:dyDescent="0.35">
      <c r="A653" s="1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</row>
    <row r="654" spans="1:42" ht="14.5" x14ac:dyDescent="0.35">
      <c r="A654" s="1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</row>
    <row r="655" spans="1:42" ht="14.5" x14ac:dyDescent="0.35">
      <c r="A655" s="1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</row>
    <row r="656" spans="1:42" ht="14.5" x14ac:dyDescent="0.35">
      <c r="A656" s="1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</row>
    <row r="657" spans="1:42" ht="14.5" x14ac:dyDescent="0.35">
      <c r="A657" s="1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</row>
    <row r="658" spans="1:42" ht="14.5" x14ac:dyDescent="0.35">
      <c r="A658" s="1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</row>
    <row r="659" spans="1:42" ht="14.5" x14ac:dyDescent="0.35">
      <c r="A659" s="1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</row>
    <row r="660" spans="1:42" ht="14.5" x14ac:dyDescent="0.35">
      <c r="A660" s="1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</row>
    <row r="661" spans="1:42" ht="14.5" x14ac:dyDescent="0.35">
      <c r="A661" s="1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</row>
    <row r="662" spans="1:42" ht="14.5" x14ac:dyDescent="0.35">
      <c r="A662" s="1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</row>
    <row r="663" spans="1:42" ht="14.5" x14ac:dyDescent="0.35">
      <c r="A663" s="1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</row>
    <row r="664" spans="1:42" ht="14.5" x14ac:dyDescent="0.35">
      <c r="A664" s="1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</row>
    <row r="665" spans="1:42" ht="14.5" x14ac:dyDescent="0.35">
      <c r="A665" s="1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</row>
    <row r="666" spans="1:42" ht="14.5" x14ac:dyDescent="0.35">
      <c r="A666" s="1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</row>
    <row r="667" spans="1:42" ht="14.5" x14ac:dyDescent="0.35">
      <c r="A667" s="1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</row>
    <row r="668" spans="1:42" ht="14.5" x14ac:dyDescent="0.35">
      <c r="A668" s="1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</row>
    <row r="669" spans="1:42" ht="14.5" x14ac:dyDescent="0.35">
      <c r="A669" s="1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</row>
    <row r="670" spans="1:42" ht="14.5" x14ac:dyDescent="0.35">
      <c r="A670" s="1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</row>
    <row r="671" spans="1:42" ht="14.5" x14ac:dyDescent="0.35">
      <c r="A671" s="1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</row>
    <row r="672" spans="1:42" ht="14.5" x14ac:dyDescent="0.35">
      <c r="A672" s="1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</row>
    <row r="673" spans="1:42" ht="14.5" x14ac:dyDescent="0.35">
      <c r="A673" s="1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</row>
    <row r="674" spans="1:42" ht="14.5" x14ac:dyDescent="0.35">
      <c r="A674" s="1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</row>
    <row r="675" spans="1:42" ht="14.5" x14ac:dyDescent="0.35">
      <c r="A675" s="1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</row>
    <row r="676" spans="1:42" ht="14.5" x14ac:dyDescent="0.35">
      <c r="A676" s="1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</row>
    <row r="677" spans="1:42" ht="14.5" x14ac:dyDescent="0.35">
      <c r="A677" s="1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</row>
    <row r="678" spans="1:42" ht="14.5" x14ac:dyDescent="0.35">
      <c r="A678" s="1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</row>
    <row r="679" spans="1:42" ht="14.5" x14ac:dyDescent="0.35">
      <c r="A679" s="1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</row>
    <row r="680" spans="1:42" ht="14.5" x14ac:dyDescent="0.35">
      <c r="A680" s="1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</row>
    <row r="681" spans="1:42" ht="14.5" x14ac:dyDescent="0.35">
      <c r="A681" s="1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</row>
    <row r="682" spans="1:42" ht="14.5" x14ac:dyDescent="0.35">
      <c r="A682" s="1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</row>
    <row r="683" spans="1:42" ht="14.5" x14ac:dyDescent="0.35">
      <c r="A683" s="1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</row>
    <row r="684" spans="1:42" ht="14.5" x14ac:dyDescent="0.35">
      <c r="A684" s="1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</row>
    <row r="685" spans="1:42" ht="14.5" x14ac:dyDescent="0.35">
      <c r="A685" s="1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</row>
    <row r="686" spans="1:42" ht="14.5" x14ac:dyDescent="0.35">
      <c r="A686" s="1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</row>
    <row r="687" spans="1:42" ht="14.5" x14ac:dyDescent="0.35">
      <c r="A687" s="1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</row>
    <row r="688" spans="1:42" ht="14.5" x14ac:dyDescent="0.35">
      <c r="A688" s="1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</row>
    <row r="689" spans="1:42" ht="14.5" x14ac:dyDescent="0.35">
      <c r="A689" s="1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</row>
    <row r="690" spans="1:42" ht="14.5" x14ac:dyDescent="0.35">
      <c r="A690" s="1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</row>
    <row r="691" spans="1:42" ht="14.5" x14ac:dyDescent="0.35">
      <c r="A691" s="1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</row>
    <row r="692" spans="1:42" ht="14.5" x14ac:dyDescent="0.35">
      <c r="A692" s="1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</row>
    <row r="693" spans="1:42" ht="14.5" x14ac:dyDescent="0.35">
      <c r="A693" s="1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</row>
    <row r="694" spans="1:42" ht="14.5" x14ac:dyDescent="0.35">
      <c r="A694" s="1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</row>
    <row r="695" spans="1:42" ht="14.5" x14ac:dyDescent="0.35">
      <c r="A695" s="1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</row>
    <row r="696" spans="1:42" ht="14.5" x14ac:dyDescent="0.35">
      <c r="A696" s="1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</row>
    <row r="697" spans="1:42" ht="14.5" x14ac:dyDescent="0.35">
      <c r="A697" s="1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</row>
    <row r="698" spans="1:42" ht="14.5" x14ac:dyDescent="0.35">
      <c r="A698" s="1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</row>
    <row r="699" spans="1:42" ht="14.5" x14ac:dyDescent="0.35">
      <c r="A699" s="1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</row>
    <row r="700" spans="1:42" ht="14.5" x14ac:dyDescent="0.35">
      <c r="A700" s="1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</row>
    <row r="701" spans="1:42" ht="14.5" x14ac:dyDescent="0.35">
      <c r="A701" s="1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</row>
    <row r="702" spans="1:42" ht="14.5" x14ac:dyDescent="0.35">
      <c r="A702" s="1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</row>
    <row r="703" spans="1:42" ht="14.5" x14ac:dyDescent="0.35">
      <c r="A703" s="1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</row>
    <row r="704" spans="1:42" ht="14.5" x14ac:dyDescent="0.35">
      <c r="A704" s="1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</row>
    <row r="705" spans="1:42" ht="14.5" x14ac:dyDescent="0.35">
      <c r="A705" s="1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</row>
    <row r="706" spans="1:42" ht="14.5" x14ac:dyDescent="0.35">
      <c r="A706" s="1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</row>
    <row r="707" spans="1:42" ht="14.5" x14ac:dyDescent="0.35">
      <c r="A707" s="1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</row>
    <row r="708" spans="1:42" ht="14.5" x14ac:dyDescent="0.35">
      <c r="A708" s="1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</row>
    <row r="709" spans="1:42" ht="14.5" x14ac:dyDescent="0.35">
      <c r="A709" s="1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</row>
    <row r="710" spans="1:42" ht="14.5" x14ac:dyDescent="0.35">
      <c r="A710" s="1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</row>
    <row r="711" spans="1:42" ht="14.5" x14ac:dyDescent="0.35">
      <c r="A711" s="1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</row>
    <row r="712" spans="1:42" ht="14.5" x14ac:dyDescent="0.35">
      <c r="A712" s="1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</row>
    <row r="713" spans="1:42" ht="14.5" x14ac:dyDescent="0.35">
      <c r="A713" s="1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</row>
    <row r="714" spans="1:42" ht="14.5" x14ac:dyDescent="0.35">
      <c r="A714" s="1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</row>
    <row r="715" spans="1:42" ht="14.5" x14ac:dyDescent="0.35">
      <c r="A715" s="1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</row>
    <row r="716" spans="1:42" ht="14.5" x14ac:dyDescent="0.35">
      <c r="A716" s="1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</row>
    <row r="717" spans="1:42" ht="14.5" x14ac:dyDescent="0.35">
      <c r="A717" s="1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</row>
    <row r="718" spans="1:42" ht="14.5" x14ac:dyDescent="0.35">
      <c r="A718" s="1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</row>
    <row r="719" spans="1:42" ht="14.5" x14ac:dyDescent="0.35">
      <c r="A719" s="1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</row>
    <row r="720" spans="1:42" ht="14.5" x14ac:dyDescent="0.35">
      <c r="A720" s="1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</row>
    <row r="721" spans="1:42" ht="14.5" x14ac:dyDescent="0.35">
      <c r="A721" s="1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</row>
    <row r="722" spans="1:42" ht="14.5" x14ac:dyDescent="0.35">
      <c r="A722" s="1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</row>
    <row r="723" spans="1:42" ht="14.5" x14ac:dyDescent="0.35">
      <c r="A723" s="1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</row>
    <row r="724" spans="1:42" ht="14.5" x14ac:dyDescent="0.35">
      <c r="A724" s="1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</row>
    <row r="725" spans="1:42" ht="14.5" x14ac:dyDescent="0.35">
      <c r="A725" s="1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</row>
    <row r="726" spans="1:42" ht="14.5" x14ac:dyDescent="0.35">
      <c r="A726" s="1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</row>
    <row r="727" spans="1:42" ht="14.5" x14ac:dyDescent="0.35">
      <c r="A727" s="1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</row>
    <row r="728" spans="1:42" ht="14.5" x14ac:dyDescent="0.35">
      <c r="A728" s="1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</row>
    <row r="729" spans="1:42" ht="14.5" x14ac:dyDescent="0.35">
      <c r="A729" s="1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</row>
    <row r="730" spans="1:42" ht="14.5" x14ac:dyDescent="0.35">
      <c r="A730" s="1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</row>
    <row r="731" spans="1:42" ht="14.5" x14ac:dyDescent="0.35">
      <c r="A731" s="1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</row>
    <row r="732" spans="1:42" ht="14.5" x14ac:dyDescent="0.35">
      <c r="A732" s="1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</row>
    <row r="733" spans="1:42" ht="14.5" x14ac:dyDescent="0.35">
      <c r="A733" s="1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</row>
    <row r="734" spans="1:42" ht="14.5" x14ac:dyDescent="0.35">
      <c r="A734" s="1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</row>
    <row r="735" spans="1:42" ht="14.5" x14ac:dyDescent="0.35">
      <c r="A735" s="1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</row>
    <row r="736" spans="1:42" ht="14.5" x14ac:dyDescent="0.35">
      <c r="A736" s="1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</row>
    <row r="737" spans="1:42" ht="14.5" x14ac:dyDescent="0.35">
      <c r="A737" s="1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</row>
    <row r="738" spans="1:42" ht="14.5" x14ac:dyDescent="0.35">
      <c r="A738" s="1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</row>
    <row r="739" spans="1:42" ht="14.5" x14ac:dyDescent="0.35">
      <c r="A739" s="1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</row>
    <row r="740" spans="1:42" ht="14.5" x14ac:dyDescent="0.35">
      <c r="A740" s="1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</row>
    <row r="741" spans="1:42" ht="14.5" x14ac:dyDescent="0.35">
      <c r="A741" s="1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</row>
    <row r="742" spans="1:42" ht="14.5" x14ac:dyDescent="0.35">
      <c r="A742" s="1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</row>
    <row r="743" spans="1:42" ht="14.5" x14ac:dyDescent="0.35">
      <c r="A743" s="1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</row>
    <row r="744" spans="1:42" ht="14.5" x14ac:dyDescent="0.35">
      <c r="A744" s="1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</row>
    <row r="745" spans="1:42" ht="14.5" x14ac:dyDescent="0.35">
      <c r="A745" s="1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</row>
    <row r="746" spans="1:42" ht="14.5" x14ac:dyDescent="0.35">
      <c r="A746" s="1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</row>
    <row r="747" spans="1:42" ht="14.5" x14ac:dyDescent="0.35">
      <c r="A747" s="1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</row>
    <row r="748" spans="1:42" ht="14.5" x14ac:dyDescent="0.35">
      <c r="A748" s="1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</row>
    <row r="749" spans="1:42" ht="14.5" x14ac:dyDescent="0.35">
      <c r="A749" s="1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</row>
    <row r="750" spans="1:42" ht="14.5" x14ac:dyDescent="0.35">
      <c r="A750" s="1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</row>
    <row r="751" spans="1:42" ht="14.5" x14ac:dyDescent="0.35">
      <c r="A751" s="1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</row>
    <row r="752" spans="1:42" ht="14.5" x14ac:dyDescent="0.35">
      <c r="A752" s="1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</row>
    <row r="753" spans="1:42" ht="14.5" x14ac:dyDescent="0.35">
      <c r="A753" s="1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</row>
    <row r="754" spans="1:42" ht="14.5" x14ac:dyDescent="0.35">
      <c r="A754" s="1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</row>
    <row r="755" spans="1:42" ht="14.5" x14ac:dyDescent="0.35">
      <c r="A755" s="1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</row>
    <row r="756" spans="1:42" ht="14.5" x14ac:dyDescent="0.35">
      <c r="A756" s="1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</row>
    <row r="757" spans="1:42" ht="14.5" x14ac:dyDescent="0.35">
      <c r="A757" s="1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</row>
    <row r="758" spans="1:42" ht="14.5" x14ac:dyDescent="0.35">
      <c r="A758" s="1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</row>
    <row r="759" spans="1:42" ht="14.5" x14ac:dyDescent="0.35">
      <c r="A759" s="1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</row>
    <row r="760" spans="1:42" ht="14.5" x14ac:dyDescent="0.35">
      <c r="A760" s="1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</row>
    <row r="761" spans="1:42" ht="14.5" x14ac:dyDescent="0.35">
      <c r="A761" s="1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</row>
    <row r="762" spans="1:42" ht="14.5" x14ac:dyDescent="0.35">
      <c r="A762" s="1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</row>
    <row r="763" spans="1:42" ht="14.5" x14ac:dyDescent="0.35">
      <c r="A763" s="1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</row>
    <row r="764" spans="1:42" ht="14.5" x14ac:dyDescent="0.35">
      <c r="A764" s="1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</row>
    <row r="765" spans="1:42" ht="14.5" x14ac:dyDescent="0.35">
      <c r="A765" s="1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</row>
    <row r="766" spans="1:42" ht="14.5" x14ac:dyDescent="0.35">
      <c r="A766" s="1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</row>
    <row r="767" spans="1:42" ht="14.5" x14ac:dyDescent="0.35">
      <c r="A767" s="1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</row>
    <row r="768" spans="1:42" ht="14.5" x14ac:dyDescent="0.35">
      <c r="A768" s="1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</row>
    <row r="769" spans="1:42" ht="14.5" x14ac:dyDescent="0.35">
      <c r="A769" s="1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</row>
    <row r="770" spans="1:42" ht="14.5" x14ac:dyDescent="0.35">
      <c r="A770" s="1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</row>
    <row r="771" spans="1:42" ht="14.5" x14ac:dyDescent="0.35">
      <c r="A771" s="1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</row>
    <row r="772" spans="1:42" ht="14.5" x14ac:dyDescent="0.35">
      <c r="A772" s="1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</row>
    <row r="773" spans="1:42" ht="14.5" x14ac:dyDescent="0.35">
      <c r="A773" s="1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</row>
    <row r="774" spans="1:42" ht="14.5" x14ac:dyDescent="0.35">
      <c r="A774" s="1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</row>
    <row r="775" spans="1:42" ht="14.5" x14ac:dyDescent="0.35">
      <c r="A775" s="1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</row>
    <row r="776" spans="1:42" ht="14.5" x14ac:dyDescent="0.35">
      <c r="A776" s="1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</row>
    <row r="777" spans="1:42" ht="14.5" x14ac:dyDescent="0.35">
      <c r="A777" s="1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</row>
    <row r="778" spans="1:42" ht="14.5" x14ac:dyDescent="0.35">
      <c r="A778" s="1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</row>
    <row r="779" spans="1:42" ht="14.5" x14ac:dyDescent="0.35">
      <c r="A779" s="1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</row>
    <row r="780" spans="1:42" ht="14.5" x14ac:dyDescent="0.35">
      <c r="A780" s="1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</row>
    <row r="781" spans="1:42" ht="14.5" x14ac:dyDescent="0.35">
      <c r="A781" s="1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</row>
    <row r="782" spans="1:42" ht="14.5" x14ac:dyDescent="0.35">
      <c r="A782" s="1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</row>
    <row r="783" spans="1:42" ht="14.5" x14ac:dyDescent="0.35">
      <c r="A783" s="1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</row>
    <row r="784" spans="1:42" ht="14.5" x14ac:dyDescent="0.35">
      <c r="A784" s="1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</row>
    <row r="785" spans="1:42" ht="14.5" x14ac:dyDescent="0.35">
      <c r="A785" s="1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</row>
    <row r="786" spans="1:42" ht="14.5" x14ac:dyDescent="0.35">
      <c r="A786" s="1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</row>
    <row r="787" spans="1:42" ht="14.5" x14ac:dyDescent="0.35">
      <c r="A787" s="1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</row>
    <row r="788" spans="1:42" ht="14.5" x14ac:dyDescent="0.35">
      <c r="A788" s="1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</row>
    <row r="789" spans="1:42" ht="14.5" x14ac:dyDescent="0.35">
      <c r="A789" s="1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</row>
    <row r="790" spans="1:42" ht="14.5" x14ac:dyDescent="0.35">
      <c r="A790" s="1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</row>
    <row r="791" spans="1:42" ht="14.5" x14ac:dyDescent="0.35">
      <c r="A791" s="1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</row>
    <row r="792" spans="1:42" ht="14.5" x14ac:dyDescent="0.35">
      <c r="A792" s="1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</row>
    <row r="793" spans="1:42" ht="14.5" x14ac:dyDescent="0.35">
      <c r="A793" s="1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</row>
    <row r="794" spans="1:42" ht="14.5" x14ac:dyDescent="0.35">
      <c r="A794" s="1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</row>
    <row r="795" spans="1:42" ht="14.5" x14ac:dyDescent="0.35">
      <c r="A795" s="1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</row>
    <row r="796" spans="1:42" ht="14.5" x14ac:dyDescent="0.35">
      <c r="A796" s="1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</row>
    <row r="797" spans="1:42" ht="14.5" x14ac:dyDescent="0.35">
      <c r="A797" s="1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</row>
    <row r="798" spans="1:42" ht="14.5" x14ac:dyDescent="0.35">
      <c r="A798" s="1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</row>
    <row r="799" spans="1:42" ht="14.5" x14ac:dyDescent="0.35">
      <c r="A799" s="1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</row>
    <row r="800" spans="1:42" ht="14.5" x14ac:dyDescent="0.35">
      <c r="A800" s="1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</row>
    <row r="801" spans="1:42" ht="14.5" x14ac:dyDescent="0.35">
      <c r="A801" s="1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</row>
    <row r="802" spans="1:42" ht="14.5" x14ac:dyDescent="0.35">
      <c r="A802" s="1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</row>
    <row r="803" spans="1:42" ht="14.5" x14ac:dyDescent="0.35">
      <c r="A803" s="1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</row>
    <row r="804" spans="1:42" ht="14.5" x14ac:dyDescent="0.35">
      <c r="A804" s="1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</row>
    <row r="805" spans="1:42" ht="14.5" x14ac:dyDescent="0.35">
      <c r="A805" s="1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</row>
    <row r="806" spans="1:42" ht="14.5" x14ac:dyDescent="0.35">
      <c r="A806" s="1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</row>
    <row r="807" spans="1:42" ht="14.5" x14ac:dyDescent="0.35">
      <c r="A807" s="1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</row>
    <row r="808" spans="1:42" ht="14.5" x14ac:dyDescent="0.35">
      <c r="A808" s="1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</row>
    <row r="809" spans="1:42" ht="14.5" x14ac:dyDescent="0.35">
      <c r="A809" s="1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</row>
    <row r="810" spans="1:42" ht="14.5" x14ac:dyDescent="0.35">
      <c r="A810" s="1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</row>
    <row r="811" spans="1:42" ht="14.5" x14ac:dyDescent="0.35">
      <c r="A811" s="1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</row>
    <row r="812" spans="1:42" ht="14.5" x14ac:dyDescent="0.35">
      <c r="A812" s="1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</row>
    <row r="813" spans="1:42" ht="14.5" x14ac:dyDescent="0.35">
      <c r="A813" s="1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</row>
    <row r="814" spans="1:42" ht="14.5" x14ac:dyDescent="0.35">
      <c r="A814" s="1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</row>
    <row r="815" spans="1:42" ht="14.5" x14ac:dyDescent="0.35">
      <c r="A815" s="1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</row>
    <row r="816" spans="1:42" ht="14.5" x14ac:dyDescent="0.35">
      <c r="A816" s="1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</row>
    <row r="817" spans="1:42" ht="14.5" x14ac:dyDescent="0.35">
      <c r="A817" s="1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</row>
    <row r="818" spans="1:42" ht="14.5" x14ac:dyDescent="0.35">
      <c r="A818" s="1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</row>
    <row r="819" spans="1:42" ht="14.5" x14ac:dyDescent="0.35">
      <c r="A819" s="1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</row>
    <row r="820" spans="1:42" ht="14.5" x14ac:dyDescent="0.35">
      <c r="A820" s="1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</row>
    <row r="821" spans="1:42" ht="14.5" x14ac:dyDescent="0.35">
      <c r="A821" s="1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</row>
    <row r="822" spans="1:42" ht="14.5" x14ac:dyDescent="0.35">
      <c r="A822" s="1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</row>
    <row r="823" spans="1:42" ht="14.5" x14ac:dyDescent="0.35">
      <c r="A823" s="1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</row>
    <row r="824" spans="1:42" ht="14.5" x14ac:dyDescent="0.35">
      <c r="A824" s="1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</row>
    <row r="825" spans="1:42" ht="14.5" x14ac:dyDescent="0.35">
      <c r="A825" s="1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</row>
    <row r="826" spans="1:42" ht="14.5" x14ac:dyDescent="0.35">
      <c r="A826" s="1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</row>
    <row r="827" spans="1:42" ht="14.5" x14ac:dyDescent="0.35">
      <c r="A827" s="1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</row>
    <row r="828" spans="1:42" ht="14.5" x14ac:dyDescent="0.35">
      <c r="A828" s="1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</row>
    <row r="829" spans="1:42" ht="14.5" x14ac:dyDescent="0.35">
      <c r="A829" s="1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</row>
    <row r="830" spans="1:42" ht="14.5" x14ac:dyDescent="0.35">
      <c r="A830" s="1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</row>
    <row r="831" spans="1:42" ht="14.5" x14ac:dyDescent="0.35">
      <c r="A831" s="1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</row>
    <row r="832" spans="1:42" ht="14.5" x14ac:dyDescent="0.35">
      <c r="A832" s="1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</row>
    <row r="833" spans="1:42" ht="14.5" x14ac:dyDescent="0.35">
      <c r="A833" s="1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</row>
    <row r="834" spans="1:42" ht="14.5" x14ac:dyDescent="0.35">
      <c r="A834" s="1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</row>
    <row r="835" spans="1:42" ht="14.5" x14ac:dyDescent="0.35">
      <c r="A835" s="1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</row>
    <row r="836" spans="1:42" ht="14.5" x14ac:dyDescent="0.35">
      <c r="A836" s="1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</row>
    <row r="837" spans="1:42" ht="14.5" x14ac:dyDescent="0.35">
      <c r="A837" s="1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</row>
    <row r="838" spans="1:42" ht="14.5" x14ac:dyDescent="0.35">
      <c r="A838" s="1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</row>
    <row r="839" spans="1:42" ht="14.5" x14ac:dyDescent="0.35">
      <c r="A839" s="1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</row>
    <row r="840" spans="1:42" ht="14.5" x14ac:dyDescent="0.35">
      <c r="A840" s="1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</row>
    <row r="841" spans="1:42" ht="14.5" x14ac:dyDescent="0.35">
      <c r="A841" s="1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</row>
    <row r="842" spans="1:42" ht="14.5" x14ac:dyDescent="0.35">
      <c r="A842" s="1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</row>
    <row r="843" spans="1:42" ht="14.5" x14ac:dyDescent="0.35">
      <c r="A843" s="1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</row>
    <row r="844" spans="1:42" ht="14.5" x14ac:dyDescent="0.35">
      <c r="A844" s="1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</row>
    <row r="845" spans="1:42" ht="14.5" x14ac:dyDescent="0.35">
      <c r="A845" s="1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</row>
    <row r="846" spans="1:42" ht="14.5" x14ac:dyDescent="0.35">
      <c r="A846" s="1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</row>
    <row r="847" spans="1:42" ht="14.5" x14ac:dyDescent="0.35">
      <c r="A847" s="1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</row>
    <row r="848" spans="1:42" ht="14.5" x14ac:dyDescent="0.35">
      <c r="A848" s="1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</row>
    <row r="849" spans="1:42" ht="14.5" x14ac:dyDescent="0.35">
      <c r="A849" s="1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</row>
    <row r="850" spans="1:42" ht="14.5" x14ac:dyDescent="0.35">
      <c r="A850" s="1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</row>
    <row r="851" spans="1:42" ht="14.5" x14ac:dyDescent="0.35">
      <c r="A851" s="1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</row>
    <row r="852" spans="1:42" ht="14.5" x14ac:dyDescent="0.35">
      <c r="A852" s="1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</row>
    <row r="853" spans="1:42" ht="14.5" x14ac:dyDescent="0.35">
      <c r="A853" s="1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</row>
    <row r="854" spans="1:42" ht="14.5" x14ac:dyDescent="0.35">
      <c r="A854" s="1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</row>
    <row r="855" spans="1:42" ht="14.5" x14ac:dyDescent="0.35">
      <c r="A855" s="1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</row>
    <row r="856" spans="1:42" ht="14.5" x14ac:dyDescent="0.35">
      <c r="A856" s="1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</row>
    <row r="857" spans="1:42" ht="14.5" x14ac:dyDescent="0.35">
      <c r="A857" s="1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</row>
    <row r="858" spans="1:42" ht="14.5" x14ac:dyDescent="0.35">
      <c r="A858" s="1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</row>
    <row r="859" spans="1:42" ht="14.5" x14ac:dyDescent="0.35">
      <c r="A859" s="1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</row>
    <row r="860" spans="1:42" ht="14.5" x14ac:dyDescent="0.35">
      <c r="A860" s="1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</row>
    <row r="861" spans="1:42" ht="14.5" x14ac:dyDescent="0.35">
      <c r="A861" s="1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</row>
    <row r="862" spans="1:42" ht="14.5" x14ac:dyDescent="0.35">
      <c r="A862" s="1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</row>
    <row r="863" spans="1:42" ht="14.5" x14ac:dyDescent="0.35">
      <c r="A863" s="1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</row>
    <row r="864" spans="1:42" ht="14.5" x14ac:dyDescent="0.35">
      <c r="A864" s="1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</row>
    <row r="865" spans="1:42" ht="14.5" x14ac:dyDescent="0.35">
      <c r="A865" s="1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</row>
    <row r="866" spans="1:42" ht="14.5" x14ac:dyDescent="0.35">
      <c r="A866" s="1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</row>
    <row r="867" spans="1:42" ht="14.5" x14ac:dyDescent="0.35">
      <c r="A867" s="1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</row>
    <row r="868" spans="1:42" ht="14.5" x14ac:dyDescent="0.35">
      <c r="A868" s="1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</row>
    <row r="869" spans="1:42" ht="14.5" x14ac:dyDescent="0.35">
      <c r="A869" s="1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</row>
    <row r="870" spans="1:42" ht="14.5" x14ac:dyDescent="0.35">
      <c r="A870" s="1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</row>
    <row r="871" spans="1:42" ht="14.5" x14ac:dyDescent="0.35">
      <c r="A871" s="1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</row>
    <row r="872" spans="1:42" ht="14.5" x14ac:dyDescent="0.35">
      <c r="A872" s="1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</row>
    <row r="873" spans="1:42" ht="14.5" x14ac:dyDescent="0.35">
      <c r="A873" s="1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</row>
    <row r="874" spans="1:42" ht="14.5" x14ac:dyDescent="0.35">
      <c r="A874" s="1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</row>
    <row r="875" spans="1:42" ht="14.5" x14ac:dyDescent="0.35">
      <c r="A875" s="1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</row>
    <row r="876" spans="1:42" ht="14.5" x14ac:dyDescent="0.35">
      <c r="A876" s="1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</row>
    <row r="877" spans="1:42" ht="14.5" x14ac:dyDescent="0.35">
      <c r="A877" s="1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</row>
    <row r="878" spans="1:42" ht="14.5" x14ac:dyDescent="0.35">
      <c r="A878" s="1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</row>
    <row r="879" spans="1:42" ht="14.5" x14ac:dyDescent="0.35">
      <c r="A879" s="1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</row>
    <row r="880" spans="1:42" ht="14.5" x14ac:dyDescent="0.35">
      <c r="A880" s="1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</row>
    <row r="881" spans="1:42" ht="14.5" x14ac:dyDescent="0.35">
      <c r="A881" s="1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</row>
    <row r="882" spans="1:42" ht="14.5" x14ac:dyDescent="0.35">
      <c r="A882" s="1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</row>
    <row r="883" spans="1:42" ht="14.5" x14ac:dyDescent="0.35">
      <c r="A883" s="1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</row>
    <row r="884" spans="1:42" ht="14.5" x14ac:dyDescent="0.35">
      <c r="A884" s="1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</row>
    <row r="885" spans="1:42" ht="14.5" x14ac:dyDescent="0.35">
      <c r="A885" s="1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</row>
    <row r="886" spans="1:42" ht="14.5" x14ac:dyDescent="0.35">
      <c r="A886" s="1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</row>
    <row r="887" spans="1:42" ht="14.5" x14ac:dyDescent="0.35">
      <c r="A887" s="1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</row>
    <row r="888" spans="1:42" ht="14.5" x14ac:dyDescent="0.35">
      <c r="A888" s="1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</row>
    <row r="889" spans="1:42" ht="14.5" x14ac:dyDescent="0.35">
      <c r="A889" s="1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</row>
    <row r="890" spans="1:42" ht="14.5" x14ac:dyDescent="0.35">
      <c r="A890" s="1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</row>
    <row r="891" spans="1:42" ht="14.5" x14ac:dyDescent="0.35">
      <c r="A891" s="1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</row>
    <row r="892" spans="1:42" ht="14.5" x14ac:dyDescent="0.35">
      <c r="A892" s="1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</row>
    <row r="893" spans="1:42" ht="14.5" x14ac:dyDescent="0.35">
      <c r="A893" s="1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</row>
    <row r="894" spans="1:42" ht="14.5" x14ac:dyDescent="0.35">
      <c r="A894" s="1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</row>
    <row r="895" spans="1:42" ht="14.5" x14ac:dyDescent="0.35">
      <c r="A895" s="1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</row>
    <row r="896" spans="1:42" ht="14.5" x14ac:dyDescent="0.35">
      <c r="A896" s="1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</row>
    <row r="897" spans="1:42" ht="14.5" x14ac:dyDescent="0.35">
      <c r="A897" s="1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</row>
    <row r="898" spans="1:42" ht="14.5" x14ac:dyDescent="0.35">
      <c r="A898" s="1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</row>
    <row r="899" spans="1:42" ht="14.5" x14ac:dyDescent="0.35">
      <c r="A899" s="1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</row>
    <row r="900" spans="1:42" ht="14.5" x14ac:dyDescent="0.35">
      <c r="A900" s="1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</row>
    <row r="901" spans="1:42" ht="14.5" x14ac:dyDescent="0.35">
      <c r="A901" s="1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</row>
    <row r="902" spans="1:42" ht="14.5" x14ac:dyDescent="0.35">
      <c r="A902" s="1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</row>
    <row r="903" spans="1:42" ht="14.5" x14ac:dyDescent="0.35">
      <c r="A903" s="1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</row>
    <row r="904" spans="1:42" ht="14.5" x14ac:dyDescent="0.35">
      <c r="A904" s="1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</row>
    <row r="905" spans="1:42" ht="14.5" x14ac:dyDescent="0.35">
      <c r="A905" s="1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</row>
    <row r="906" spans="1:42" ht="14.5" x14ac:dyDescent="0.35">
      <c r="A906" s="1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</row>
    <row r="907" spans="1:42" ht="14.5" x14ac:dyDescent="0.35">
      <c r="A907" s="1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</row>
    <row r="908" spans="1:42" ht="14.5" x14ac:dyDescent="0.35">
      <c r="A908" s="1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</row>
    <row r="909" spans="1:42" ht="14.5" x14ac:dyDescent="0.35">
      <c r="A909" s="1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</row>
    <row r="910" spans="1:42" ht="14.5" x14ac:dyDescent="0.35">
      <c r="A910" s="1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</row>
    <row r="911" spans="1:42" ht="14.5" x14ac:dyDescent="0.35">
      <c r="A911" s="1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</row>
    <row r="912" spans="1:42" ht="14.5" x14ac:dyDescent="0.35">
      <c r="A912" s="1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</row>
    <row r="913" spans="1:42" ht="14.5" x14ac:dyDescent="0.35">
      <c r="A913" s="1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</row>
    <row r="914" spans="1:42" ht="14.5" x14ac:dyDescent="0.35">
      <c r="A914" s="1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</row>
    <row r="915" spans="1:42" ht="14.5" x14ac:dyDescent="0.35">
      <c r="A915" s="1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</row>
    <row r="916" spans="1:42" ht="14.5" x14ac:dyDescent="0.35">
      <c r="A916" s="1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</row>
    <row r="917" spans="1:42" ht="14.5" x14ac:dyDescent="0.35">
      <c r="A917" s="1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</row>
    <row r="918" spans="1:42" ht="14.5" x14ac:dyDescent="0.35">
      <c r="A918" s="1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</row>
    <row r="919" spans="1:42" ht="14.5" x14ac:dyDescent="0.35">
      <c r="A919" s="1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</row>
    <row r="920" spans="1:42" ht="14.5" x14ac:dyDescent="0.35">
      <c r="A920" s="1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</row>
    <row r="921" spans="1:42" ht="14.5" x14ac:dyDescent="0.35">
      <c r="A921" s="1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</row>
    <row r="922" spans="1:42" ht="14.5" x14ac:dyDescent="0.35">
      <c r="A922" s="1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</row>
    <row r="923" spans="1:42" ht="14.5" x14ac:dyDescent="0.35">
      <c r="A923" s="1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</row>
    <row r="924" spans="1:42" ht="14.5" x14ac:dyDescent="0.35">
      <c r="A924" s="1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</row>
    <row r="925" spans="1:42" ht="14.5" x14ac:dyDescent="0.35">
      <c r="A925" s="1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</row>
    <row r="926" spans="1:42" ht="14.5" x14ac:dyDescent="0.35">
      <c r="A926" s="1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</row>
    <row r="927" spans="1:42" ht="14.5" x14ac:dyDescent="0.35">
      <c r="A927" s="1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</row>
    <row r="928" spans="1:42" ht="14.5" x14ac:dyDescent="0.35">
      <c r="A928" s="1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</row>
    <row r="929" spans="1:42" ht="14.5" x14ac:dyDescent="0.35">
      <c r="A929" s="1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</row>
    <row r="930" spans="1:42" ht="14.5" x14ac:dyDescent="0.35">
      <c r="A930" s="1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</row>
    <row r="931" spans="1:42" ht="14.5" x14ac:dyDescent="0.35">
      <c r="A931" s="1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</row>
    <row r="932" spans="1:42" ht="14.5" x14ac:dyDescent="0.35">
      <c r="A932" s="1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</row>
    <row r="933" spans="1:42" ht="14.5" x14ac:dyDescent="0.35">
      <c r="A933" s="1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</row>
    <row r="934" spans="1:42" ht="14.5" x14ac:dyDescent="0.35">
      <c r="A934" s="1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</row>
    <row r="935" spans="1:42" ht="14.5" x14ac:dyDescent="0.35">
      <c r="A935" s="1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</row>
    <row r="936" spans="1:42" ht="14.5" x14ac:dyDescent="0.35">
      <c r="A936" s="1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</row>
    <row r="937" spans="1:42" ht="14.5" x14ac:dyDescent="0.35">
      <c r="A937" s="1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</row>
    <row r="938" spans="1:42" ht="14.5" x14ac:dyDescent="0.35">
      <c r="A938" s="1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</row>
    <row r="939" spans="1:42" ht="14.5" x14ac:dyDescent="0.35">
      <c r="A939" s="1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</row>
    <row r="940" spans="1:42" ht="14.5" x14ac:dyDescent="0.35">
      <c r="A940" s="1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</row>
    <row r="941" spans="1:42" ht="14.5" x14ac:dyDescent="0.35">
      <c r="A941" s="1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</row>
    <row r="942" spans="1:42" ht="14.5" x14ac:dyDescent="0.35">
      <c r="A942" s="1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</row>
    <row r="943" spans="1:42" ht="14.5" x14ac:dyDescent="0.35">
      <c r="A943" s="1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</row>
    <row r="944" spans="1:42" ht="14.5" x14ac:dyDescent="0.35">
      <c r="A944" s="1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</row>
    <row r="945" spans="1:42" ht="14.5" x14ac:dyDescent="0.35">
      <c r="A945" s="1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</row>
    <row r="946" spans="1:42" ht="14.5" x14ac:dyDescent="0.35">
      <c r="A946" s="1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</row>
    <row r="947" spans="1:42" ht="14.5" x14ac:dyDescent="0.35">
      <c r="A947" s="1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</row>
    <row r="948" spans="1:42" ht="14.5" x14ac:dyDescent="0.35">
      <c r="A948" s="1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</row>
    <row r="949" spans="1:42" ht="14.5" x14ac:dyDescent="0.35">
      <c r="A949" s="1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</row>
    <row r="950" spans="1:42" ht="14.5" x14ac:dyDescent="0.35">
      <c r="A950" s="1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</row>
    <row r="951" spans="1:42" ht="14.5" x14ac:dyDescent="0.35">
      <c r="A951" s="1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</row>
    <row r="952" spans="1:42" ht="14.5" x14ac:dyDescent="0.35">
      <c r="A952" s="1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</row>
    <row r="953" spans="1:42" ht="14.5" x14ac:dyDescent="0.35">
      <c r="A953" s="1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</row>
    <row r="954" spans="1:42" ht="14.5" x14ac:dyDescent="0.35">
      <c r="A954" s="1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</row>
    <row r="955" spans="1:42" ht="14.5" x14ac:dyDescent="0.35">
      <c r="A955" s="1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</row>
    <row r="956" spans="1:42" ht="14.5" x14ac:dyDescent="0.35">
      <c r="A956" s="1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</row>
    <row r="957" spans="1:42" ht="14.5" x14ac:dyDescent="0.35">
      <c r="A957" s="1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</row>
    <row r="958" spans="1:42" ht="14.5" x14ac:dyDescent="0.35">
      <c r="A958" s="1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</row>
    <row r="959" spans="1:42" ht="14.5" x14ac:dyDescent="0.35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  <c r="AO959" s="25"/>
      <c r="AP959" s="25"/>
    </row>
    <row r="960" spans="1:42" ht="14.5" x14ac:dyDescent="0.35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  <c r="AO960" s="25"/>
      <c r="AP960" s="25"/>
    </row>
    <row r="961" spans="1:42" ht="14.5" x14ac:dyDescent="0.35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  <c r="AO961" s="25"/>
      <c r="AP961" s="25"/>
    </row>
    <row r="962" spans="1:42" ht="14.5" x14ac:dyDescent="0.35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  <c r="AO962" s="25"/>
      <c r="AP962" s="25"/>
    </row>
    <row r="963" spans="1:42" ht="14.5" x14ac:dyDescent="0.35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  <c r="AO963" s="25"/>
      <c r="AP963" s="25"/>
    </row>
    <row r="964" spans="1:42" ht="14.5" x14ac:dyDescent="0.35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  <c r="AO964" s="25"/>
      <c r="AP964" s="25"/>
    </row>
    <row r="965" spans="1:42" ht="14.5" x14ac:dyDescent="0.3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  <c r="AO965" s="25"/>
      <c r="AP965" s="25"/>
    </row>
    <row r="966" spans="1:42" ht="14.5" x14ac:dyDescent="0.35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  <c r="AO966" s="25"/>
      <c r="AP966" s="25"/>
    </row>
    <row r="967" spans="1:42" ht="14.5" x14ac:dyDescent="0.35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  <c r="AO967" s="25"/>
      <c r="AP967" s="25"/>
    </row>
    <row r="968" spans="1:42" ht="14.5" x14ac:dyDescent="0.35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  <c r="AO968" s="25"/>
      <c r="AP968" s="25"/>
    </row>
    <row r="969" spans="1:42" ht="14.5" x14ac:dyDescent="0.35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  <c r="AO969" s="25"/>
      <c r="AP969" s="25"/>
    </row>
    <row r="970" spans="1:42" ht="14.5" x14ac:dyDescent="0.35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  <c r="AO970" s="25"/>
      <c r="AP970" s="25"/>
    </row>
    <row r="971" spans="1:42" ht="14.5" x14ac:dyDescent="0.35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  <c r="AO971" s="25"/>
      <c r="AP971" s="25"/>
    </row>
    <row r="972" spans="1:42" ht="14.5" x14ac:dyDescent="0.35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  <c r="AO972" s="25"/>
      <c r="AP972" s="25"/>
    </row>
    <row r="973" spans="1:42" ht="14.5" x14ac:dyDescent="0.35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  <c r="AO973" s="25"/>
      <c r="AP973" s="25"/>
    </row>
    <row r="974" spans="1:42" ht="14.5" x14ac:dyDescent="0.35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  <c r="AO974" s="25"/>
      <c r="AP974" s="25"/>
    </row>
    <row r="975" spans="1:42" ht="14.5" x14ac:dyDescent="0.3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  <c r="AO975" s="25"/>
      <c r="AP975" s="25"/>
    </row>
    <row r="976" spans="1:42" ht="14.5" x14ac:dyDescent="0.35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  <c r="AO976" s="25"/>
      <c r="AP976" s="25"/>
    </row>
    <row r="977" spans="1:42" ht="14.5" x14ac:dyDescent="0.35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  <c r="AO977" s="25"/>
      <c r="AP977" s="25"/>
    </row>
    <row r="978" spans="1:42" ht="14.5" x14ac:dyDescent="0.35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  <c r="AO978" s="25"/>
      <c r="AP978" s="25"/>
    </row>
    <row r="979" spans="1:42" ht="14.5" x14ac:dyDescent="0.35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  <c r="AO979" s="25"/>
      <c r="AP979" s="25"/>
    </row>
    <row r="980" spans="1:42" ht="14.5" x14ac:dyDescent="0.35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  <c r="AO980" s="25"/>
      <c r="AP980" s="25"/>
    </row>
    <row r="981" spans="1:42" ht="14.5" x14ac:dyDescent="0.35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  <c r="AO981" s="25"/>
      <c r="AP981" s="25"/>
    </row>
    <row r="982" spans="1:42" ht="14.5" x14ac:dyDescent="0.35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  <c r="AO982" s="25"/>
      <c r="AP982" s="25"/>
    </row>
    <row r="983" spans="1:42" ht="14.5" x14ac:dyDescent="0.35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  <c r="AO983" s="25"/>
      <c r="AP983" s="25"/>
    </row>
    <row r="984" spans="1:42" ht="14.5" x14ac:dyDescent="0.35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  <c r="AO984" s="25"/>
      <c r="AP984" s="25"/>
    </row>
    <row r="985" spans="1:42" ht="14.5" x14ac:dyDescent="0.3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  <c r="AO985" s="25"/>
      <c r="AP985" s="25"/>
    </row>
    <row r="986" spans="1:42" ht="14.5" x14ac:dyDescent="0.35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  <c r="AO986" s="25"/>
      <c r="AP986" s="25"/>
    </row>
    <row r="987" spans="1:42" ht="14.5" x14ac:dyDescent="0.35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  <c r="AO987" s="25"/>
      <c r="AP987" s="25"/>
    </row>
    <row r="988" spans="1:42" ht="14.5" x14ac:dyDescent="0.35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  <c r="AO988" s="25"/>
      <c r="AP988" s="25"/>
    </row>
    <row r="989" spans="1:42" ht="14.5" x14ac:dyDescent="0.35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  <c r="AO989" s="25"/>
      <c r="AP989" s="25"/>
    </row>
    <row r="990" spans="1:42" ht="14.5" x14ac:dyDescent="0.35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  <c r="AO990" s="25"/>
      <c r="AP990" s="25"/>
    </row>
    <row r="991" spans="1:42" ht="14.5" x14ac:dyDescent="0.35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  <c r="AO991" s="25"/>
      <c r="AP991" s="25"/>
    </row>
    <row r="992" spans="1:42" ht="14.5" x14ac:dyDescent="0.35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  <c r="AO992" s="25"/>
      <c r="AP992" s="25"/>
    </row>
    <row r="993" spans="1:42" ht="14.5" x14ac:dyDescent="0.35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  <c r="AO993" s="25"/>
      <c r="AP993" s="25"/>
    </row>
    <row r="994" spans="1:42" ht="14.5" x14ac:dyDescent="0.35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  <c r="AO994" s="25"/>
      <c r="AP994" s="25"/>
    </row>
    <row r="995" spans="1:42" ht="14.5" x14ac:dyDescent="0.3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  <c r="AO995" s="25"/>
      <c r="AP995" s="25"/>
    </row>
    <row r="996" spans="1:42" ht="14.5" x14ac:dyDescent="0.35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  <c r="AO996" s="25"/>
      <c r="AP996" s="25"/>
    </row>
    <row r="997" spans="1:42" ht="14.5" x14ac:dyDescent="0.35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  <c r="AO997" s="25"/>
      <c r="AP997" s="25"/>
    </row>
    <row r="998" spans="1:42" ht="14.5" x14ac:dyDescent="0.35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  <c r="AO998" s="25"/>
      <c r="AP998" s="25"/>
    </row>
    <row r="999" spans="1:42" ht="14.5" x14ac:dyDescent="0.35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  <c r="AO999" s="25"/>
      <c r="AP999" s="25"/>
    </row>
    <row r="1000" spans="1:42" ht="14.5" x14ac:dyDescent="0.35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  <c r="AO1000" s="25"/>
      <c r="AP1000" s="25"/>
    </row>
  </sheetData>
  <mergeCells count="16">
    <mergeCell ref="A5:A6"/>
    <mergeCell ref="AG5:AG6"/>
    <mergeCell ref="AO5:AO6"/>
    <mergeCell ref="AP5:AP6"/>
    <mergeCell ref="AH5:AH6"/>
    <mergeCell ref="AI5:AI6"/>
    <mergeCell ref="AJ5:AJ6"/>
    <mergeCell ref="AK5:AK6"/>
    <mergeCell ref="AL5:AL6"/>
    <mergeCell ref="AM5:AM6"/>
    <mergeCell ref="AN5:AN6"/>
    <mergeCell ref="B1:H1"/>
    <mergeCell ref="I1:J1"/>
    <mergeCell ref="K1:L1"/>
    <mergeCell ref="B2:C2"/>
    <mergeCell ref="F2:G2"/>
  </mergeCells>
  <conditionalFormatting sqref="B7:AF42">
    <cfRule type="containsBlanks" dxfId="3" priority="1">
      <formula>LEN(TRIM(B7))=0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Helper!$A$2:$A$13</xm:f>
          </x14:formula1>
          <xm:sqref>I1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P958"/>
  <sheetViews>
    <sheetView workbookViewId="0">
      <pane xSplit="1" topLeftCell="B1" activePane="topRight" state="frozen"/>
      <selection pane="topRight" activeCell="C2" sqref="C2"/>
    </sheetView>
  </sheetViews>
  <sheetFormatPr defaultColWidth="12.6328125" defaultRowHeight="15.75" customHeight="1" x14ac:dyDescent="0.25"/>
  <cols>
    <col min="1" max="1" width="21.453125" customWidth="1"/>
    <col min="8" max="8" width="13" customWidth="1"/>
  </cols>
  <sheetData>
    <row r="1" spans="1:42" ht="14.5" x14ac:dyDescent="0.35">
      <c r="A1" s="14"/>
      <c r="B1" s="30" t="s">
        <v>38</v>
      </c>
      <c r="C1" s="31"/>
      <c r="D1" s="31"/>
      <c r="E1" s="31"/>
      <c r="F1" s="31"/>
      <c r="G1" s="31"/>
      <c r="H1" s="31"/>
      <c r="I1" s="32" t="s">
        <v>17</v>
      </c>
      <c r="J1" s="31"/>
      <c r="K1" s="32">
        <v>2026</v>
      </c>
      <c r="L1" s="33"/>
      <c r="M1" s="15"/>
      <c r="N1" s="15"/>
      <c r="O1" s="15"/>
      <c r="P1" s="15"/>
      <c r="Q1" s="15"/>
      <c r="R1" s="14"/>
      <c r="S1" s="14"/>
      <c r="T1" s="14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</row>
    <row r="2" spans="1:42" ht="14.5" x14ac:dyDescent="0.35">
      <c r="A2" s="15"/>
      <c r="B2" s="34" t="s">
        <v>39</v>
      </c>
      <c r="C2" s="35"/>
      <c r="D2" s="17">
        <f>DATEVALUE("1"&amp;I1&amp;K1)</f>
        <v>46174</v>
      </c>
      <c r="E2" s="18"/>
      <c r="F2" s="34" t="s">
        <v>40</v>
      </c>
      <c r="G2" s="35"/>
      <c r="H2" s="17">
        <f>EOMONTH(D2,0)</f>
        <v>46203</v>
      </c>
      <c r="I2" s="15"/>
      <c r="J2" s="15"/>
      <c r="K2" s="15"/>
      <c r="L2" s="14"/>
      <c r="M2" s="15"/>
      <c r="N2" s="15"/>
      <c r="O2" s="14"/>
      <c r="P2" s="18"/>
      <c r="Q2" s="18"/>
      <c r="R2" s="15"/>
      <c r="S2" s="15"/>
      <c r="T2" s="15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</row>
    <row r="3" spans="1:42" ht="14.5" x14ac:dyDescent="0.3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</row>
    <row r="4" spans="1:42" ht="14.5" x14ac:dyDescent="0.35">
      <c r="A4" s="16"/>
      <c r="B4" s="16" t="str">
        <f>IFERROR(IF(B6="",1,VLOOKUP(B6,Helper!$D$2:$E$18,2,0)),"")</f>
        <v/>
      </c>
      <c r="C4" s="16" t="str">
        <f>IFERROR(IF(C6="",1,VLOOKUP(C6,Helper!$D$2:$E$18,2,0)),"")</f>
        <v/>
      </c>
      <c r="D4" s="16" t="str">
        <f>IFERROR(IF(D6="",1,VLOOKUP(D6,Helper!$D$2:$E$18,2,0)),"")</f>
        <v/>
      </c>
      <c r="E4" s="16" t="str">
        <f>IFERROR(IF(E6="",1,VLOOKUP(E6,Helper!$D$2:$E$18,2,0)),"")</f>
        <v/>
      </c>
      <c r="F4" s="16" t="str">
        <f>IFERROR(IF(F6="",1,VLOOKUP(F6,Helper!$D$2:$E$18,2,0)),"")</f>
        <v/>
      </c>
      <c r="G4" s="16" t="str">
        <f>IFERROR(IF(G6="",1,VLOOKUP(G6,Helper!$D$2:$E$18,2,0)),"")</f>
        <v/>
      </c>
      <c r="H4" s="16" t="str">
        <f>IFERROR(IF(H6="",1,VLOOKUP(H6,Helper!$D$2:$E$18,2,0)),"")</f>
        <v/>
      </c>
      <c r="I4" s="16" t="str">
        <f>IFERROR(IF(I6="",1,VLOOKUP(I6,Helper!$D$2:$E$18,2,0)),"")</f>
        <v/>
      </c>
      <c r="J4" s="16" t="str">
        <f>IFERROR(IF(J6="",1,VLOOKUP(J6,Helper!$D$2:$E$18,2,0)),"")</f>
        <v/>
      </c>
      <c r="K4" s="16" t="str">
        <f>IFERROR(IF(K6="",1,VLOOKUP(K6,Helper!$D$2:$E$18,2,0)),"")</f>
        <v/>
      </c>
      <c r="L4" s="16" t="str">
        <f>IFERROR(IF(L6="",1,VLOOKUP(L6,Helper!$D$2:$E$18,2,0)),"")</f>
        <v/>
      </c>
      <c r="M4" s="16" t="str">
        <f>IFERROR(IF(M6="",1,VLOOKUP(M6,Helper!$D$2:$E$18,2,0)),"")</f>
        <v/>
      </c>
      <c r="N4" s="16" t="str">
        <f>IFERROR(IF(N6="",1,VLOOKUP(N6,Helper!$D$2:$E$18,2,0)),"")</f>
        <v/>
      </c>
      <c r="O4" s="16" t="str">
        <f>IFERROR(IF(O6="",1,VLOOKUP(O6,Helper!$D$2:$E$18,2,0)),"")</f>
        <v/>
      </c>
      <c r="P4" s="16"/>
      <c r="Q4" s="16" t="str">
        <f>IFERROR(IF(Q6="",1,VLOOKUP(Q6,Helper!$D$2:$E$18,2,0)),"")</f>
        <v/>
      </c>
      <c r="R4" s="16" t="str">
        <f>IFERROR(IF(R6="",1,VLOOKUP(R6,Helper!$D$2:$E$18,2,0)),"")</f>
        <v/>
      </c>
      <c r="S4" s="16" t="str">
        <f>IFERROR(IF(S6="",1,VLOOKUP(S6,Helper!$D$2:$E$18,2,0)),"")</f>
        <v/>
      </c>
      <c r="T4" s="16" t="str">
        <f>IFERROR(IF(T6="",1,VLOOKUP(T6,Helper!$D$2:$E$18,2,0)),"")</f>
        <v/>
      </c>
      <c r="U4" s="16" t="str">
        <f>IFERROR(IF(U6="",1,VLOOKUP(U6,Helper!$D$2:$E$18,2,0)),"")</f>
        <v/>
      </c>
      <c r="V4" s="16" t="str">
        <f>IFERROR(IF(V6="",1,VLOOKUP(V6,Helper!$D$2:$E$18,2,0)),"")</f>
        <v/>
      </c>
      <c r="W4" s="16" t="str">
        <f>IFERROR(IF(W6="",1,VLOOKUP(W6,Helper!$D$2:$E$18,2,0)),"")</f>
        <v/>
      </c>
      <c r="X4" s="16" t="str">
        <f>IFERROR(IF(X6="",1,VLOOKUP(X6,Helper!$D$2:$E$18,2,0)),"")</f>
        <v/>
      </c>
      <c r="Y4" s="16" t="str">
        <f>IFERROR(IF(Y6="",1,VLOOKUP(Y6,Helper!$D$2:$E$18,2,0)),"")</f>
        <v/>
      </c>
      <c r="Z4" s="16" t="str">
        <f>IFERROR(IF(Z6="",1,VLOOKUP(Z6,Helper!$D$2:$E$18,2,0)),"")</f>
        <v/>
      </c>
      <c r="AA4" s="16" t="str">
        <f>IFERROR(IF(AA6="",1,VLOOKUP(AA6,Helper!$D$2:$E$18,2,0)),"")</f>
        <v/>
      </c>
      <c r="AB4" s="16"/>
      <c r="AC4" s="16" t="str">
        <f>IFERROR(IF(AC6="",1,VLOOKUP(AC6,Helper!$D$2:$E$18,2,0)),"")</f>
        <v/>
      </c>
      <c r="AD4" s="16" t="str">
        <f>IFERROR(IF(AD6="",1,VLOOKUP(AD6,Helper!$D$2:$E$18,2,0)),"")</f>
        <v/>
      </c>
      <c r="AE4" s="16" t="str">
        <f>IFERROR(IF(AE6="",1,VLOOKUP(AE6,Helper!$D$2:$E$18,2,0)),"")</f>
        <v/>
      </c>
      <c r="AF4" s="16">
        <f>IFERROR(IF(AF6="",1,VLOOKUP(AF6,Helper!$D$2:$E$18,2,0)),"")</f>
        <v>1</v>
      </c>
      <c r="AG4" s="16"/>
      <c r="AH4" s="16"/>
      <c r="AI4" s="16"/>
      <c r="AJ4" s="16"/>
      <c r="AK4" s="16"/>
      <c r="AL4" s="16"/>
      <c r="AM4" s="16"/>
      <c r="AN4" s="16"/>
      <c r="AO4" s="16"/>
      <c r="AP4" s="16"/>
    </row>
    <row r="5" spans="1:42" ht="14.5" x14ac:dyDescent="0.35">
      <c r="A5" s="36" t="s">
        <v>41</v>
      </c>
      <c r="B5" s="19" t="str">
        <f t="shared" ref="B5:AF5" si="0">TEXT(B6,"DDD")</f>
        <v>Mon</v>
      </c>
      <c r="C5" s="19" t="str">
        <f t="shared" si="0"/>
        <v>Tue</v>
      </c>
      <c r="D5" s="19" t="str">
        <f t="shared" si="0"/>
        <v>Wed</v>
      </c>
      <c r="E5" s="19" t="str">
        <f t="shared" si="0"/>
        <v>Thu</v>
      </c>
      <c r="F5" s="19" t="str">
        <f t="shared" si="0"/>
        <v>Fri</v>
      </c>
      <c r="G5" s="19" t="str">
        <f t="shared" si="0"/>
        <v>Sat</v>
      </c>
      <c r="H5" s="19" t="str">
        <f t="shared" si="0"/>
        <v>Sun</v>
      </c>
      <c r="I5" s="19" t="str">
        <f t="shared" si="0"/>
        <v>Mon</v>
      </c>
      <c r="J5" s="19" t="str">
        <f t="shared" si="0"/>
        <v>Tue</v>
      </c>
      <c r="K5" s="19" t="str">
        <f t="shared" si="0"/>
        <v>Wed</v>
      </c>
      <c r="L5" s="19" t="str">
        <f t="shared" si="0"/>
        <v>Thu</v>
      </c>
      <c r="M5" s="19" t="str">
        <f t="shared" si="0"/>
        <v>Fri</v>
      </c>
      <c r="N5" s="19" t="str">
        <f t="shared" si="0"/>
        <v>Sat</v>
      </c>
      <c r="O5" s="19" t="str">
        <f t="shared" si="0"/>
        <v>Sun</v>
      </c>
      <c r="P5" s="19" t="str">
        <f t="shared" si="0"/>
        <v>Mon</v>
      </c>
      <c r="Q5" s="19" t="str">
        <f t="shared" si="0"/>
        <v>Tue</v>
      </c>
      <c r="R5" s="19" t="str">
        <f t="shared" si="0"/>
        <v>Wed</v>
      </c>
      <c r="S5" s="19" t="str">
        <f t="shared" si="0"/>
        <v>Thu</v>
      </c>
      <c r="T5" s="19" t="str">
        <f t="shared" si="0"/>
        <v>Fri</v>
      </c>
      <c r="U5" s="19" t="str">
        <f t="shared" si="0"/>
        <v>Sat</v>
      </c>
      <c r="V5" s="19" t="str">
        <f t="shared" si="0"/>
        <v>Sun</v>
      </c>
      <c r="W5" s="19" t="str">
        <f t="shared" si="0"/>
        <v>Mon</v>
      </c>
      <c r="X5" s="19" t="str">
        <f t="shared" si="0"/>
        <v>Tue</v>
      </c>
      <c r="Y5" s="19" t="str">
        <f t="shared" si="0"/>
        <v>Wed</v>
      </c>
      <c r="Z5" s="19" t="str">
        <f t="shared" si="0"/>
        <v>Thu</v>
      </c>
      <c r="AA5" s="19" t="str">
        <f t="shared" si="0"/>
        <v>Fri</v>
      </c>
      <c r="AB5" s="19" t="str">
        <f t="shared" si="0"/>
        <v>Sat</v>
      </c>
      <c r="AC5" s="19" t="str">
        <f t="shared" si="0"/>
        <v>Sun</v>
      </c>
      <c r="AD5" s="19" t="str">
        <f t="shared" si="0"/>
        <v>Mon</v>
      </c>
      <c r="AE5" s="19" t="str">
        <f t="shared" si="0"/>
        <v>Tue</v>
      </c>
      <c r="AF5" s="19" t="str">
        <f t="shared" si="0"/>
        <v/>
      </c>
      <c r="AG5" s="38" t="s">
        <v>42</v>
      </c>
      <c r="AH5" s="38" t="s">
        <v>43</v>
      </c>
      <c r="AI5" s="38" t="s">
        <v>44</v>
      </c>
      <c r="AJ5" s="38" t="s">
        <v>45</v>
      </c>
      <c r="AK5" s="38" t="s">
        <v>46</v>
      </c>
      <c r="AL5" s="38" t="s">
        <v>47</v>
      </c>
      <c r="AM5" s="38" t="s">
        <v>48</v>
      </c>
      <c r="AN5" s="38" t="s">
        <v>49</v>
      </c>
      <c r="AO5" s="38" t="s">
        <v>50</v>
      </c>
      <c r="AP5" s="38" t="s">
        <v>51</v>
      </c>
    </row>
    <row r="6" spans="1:42" ht="14.5" x14ac:dyDescent="0.35">
      <c r="A6" s="37"/>
      <c r="B6" s="20">
        <f>D2</f>
        <v>46174</v>
      </c>
      <c r="C6" s="20">
        <f t="shared" ref="C6:AF6" si="1">IF(B6&lt;$H$2,B6+1,"")</f>
        <v>46175</v>
      </c>
      <c r="D6" s="20">
        <f t="shared" si="1"/>
        <v>46176</v>
      </c>
      <c r="E6" s="20">
        <f t="shared" si="1"/>
        <v>46177</v>
      </c>
      <c r="F6" s="20">
        <f t="shared" si="1"/>
        <v>46178</v>
      </c>
      <c r="G6" s="20">
        <f t="shared" si="1"/>
        <v>46179</v>
      </c>
      <c r="H6" s="20">
        <f t="shared" si="1"/>
        <v>46180</v>
      </c>
      <c r="I6" s="20">
        <f t="shared" si="1"/>
        <v>46181</v>
      </c>
      <c r="J6" s="20">
        <f t="shared" si="1"/>
        <v>46182</v>
      </c>
      <c r="K6" s="20">
        <f t="shared" si="1"/>
        <v>46183</v>
      </c>
      <c r="L6" s="20">
        <f t="shared" si="1"/>
        <v>46184</v>
      </c>
      <c r="M6" s="20">
        <f t="shared" si="1"/>
        <v>46185</v>
      </c>
      <c r="N6" s="20">
        <f t="shared" si="1"/>
        <v>46186</v>
      </c>
      <c r="O6" s="20">
        <f t="shared" si="1"/>
        <v>46187</v>
      </c>
      <c r="P6" s="20">
        <f t="shared" si="1"/>
        <v>46188</v>
      </c>
      <c r="Q6" s="20">
        <f t="shared" si="1"/>
        <v>46189</v>
      </c>
      <c r="R6" s="20">
        <f t="shared" si="1"/>
        <v>46190</v>
      </c>
      <c r="S6" s="20">
        <f t="shared" si="1"/>
        <v>46191</v>
      </c>
      <c r="T6" s="20">
        <f t="shared" si="1"/>
        <v>46192</v>
      </c>
      <c r="U6" s="20">
        <f t="shared" si="1"/>
        <v>46193</v>
      </c>
      <c r="V6" s="20">
        <f t="shared" si="1"/>
        <v>46194</v>
      </c>
      <c r="W6" s="20">
        <f t="shared" si="1"/>
        <v>46195</v>
      </c>
      <c r="X6" s="20">
        <f t="shared" si="1"/>
        <v>46196</v>
      </c>
      <c r="Y6" s="20">
        <f t="shared" si="1"/>
        <v>46197</v>
      </c>
      <c r="Z6" s="20">
        <f t="shared" si="1"/>
        <v>46198</v>
      </c>
      <c r="AA6" s="20">
        <f t="shared" si="1"/>
        <v>46199</v>
      </c>
      <c r="AB6" s="20">
        <f t="shared" si="1"/>
        <v>46200</v>
      </c>
      <c r="AC6" s="20">
        <f t="shared" si="1"/>
        <v>46201</v>
      </c>
      <c r="AD6" s="20">
        <f t="shared" si="1"/>
        <v>46202</v>
      </c>
      <c r="AE6" s="20">
        <f t="shared" si="1"/>
        <v>46203</v>
      </c>
      <c r="AF6" s="20" t="str">
        <f t="shared" si="1"/>
        <v/>
      </c>
      <c r="AG6" s="37"/>
      <c r="AH6" s="37"/>
      <c r="AI6" s="37"/>
      <c r="AJ6" s="37"/>
      <c r="AK6" s="37"/>
      <c r="AL6" s="37"/>
      <c r="AM6" s="37"/>
      <c r="AN6" s="37"/>
      <c r="AO6" s="37"/>
      <c r="AP6" s="37"/>
    </row>
    <row r="7" spans="1:42" ht="14.5" x14ac:dyDescent="0.35">
      <c r="A7" s="21" t="s">
        <v>52</v>
      </c>
      <c r="B7" s="21"/>
      <c r="C7" s="21" t="s">
        <v>53</v>
      </c>
      <c r="D7" s="21" t="s">
        <v>53</v>
      </c>
      <c r="E7" s="21" t="s">
        <v>53</v>
      </c>
      <c r="F7" s="21" t="s">
        <v>53</v>
      </c>
      <c r="G7" s="21" t="s">
        <v>54</v>
      </c>
      <c r="H7" s="21" t="s">
        <v>54</v>
      </c>
      <c r="I7" s="21" t="s">
        <v>53</v>
      </c>
      <c r="J7" s="21" t="s">
        <v>53</v>
      </c>
      <c r="K7" s="21" t="s">
        <v>53</v>
      </c>
      <c r="L7" s="21" t="s">
        <v>53</v>
      </c>
      <c r="M7" s="21" t="s">
        <v>53</v>
      </c>
      <c r="N7" s="21" t="s">
        <v>54</v>
      </c>
      <c r="O7" s="21" t="s">
        <v>54</v>
      </c>
      <c r="P7" s="21" t="s">
        <v>53</v>
      </c>
      <c r="Q7" s="21" t="s">
        <v>53</v>
      </c>
      <c r="R7" s="21" t="s">
        <v>53</v>
      </c>
      <c r="S7" s="21" t="s">
        <v>53</v>
      </c>
      <c r="T7" s="21" t="s">
        <v>53</v>
      </c>
      <c r="U7" s="21" t="s">
        <v>54</v>
      </c>
      <c r="V7" s="21" t="s">
        <v>54</v>
      </c>
      <c r="W7" s="21" t="s">
        <v>53</v>
      </c>
      <c r="X7" s="21" t="s">
        <v>53</v>
      </c>
      <c r="Y7" s="21" t="s">
        <v>53</v>
      </c>
      <c r="Z7" s="21" t="s">
        <v>53</v>
      </c>
      <c r="AA7" s="21" t="s">
        <v>53</v>
      </c>
      <c r="AB7" s="21" t="s">
        <v>54</v>
      </c>
      <c r="AC7" s="21" t="s">
        <v>54</v>
      </c>
      <c r="AD7" s="21" t="s">
        <v>53</v>
      </c>
      <c r="AE7" s="21" t="s">
        <v>53</v>
      </c>
      <c r="AF7" s="21"/>
      <c r="AG7" s="21">
        <f t="shared" ref="AG7:AG8" si="2">(COUNTIF(C7:AF7,"P*")+(0.5*COUNTIF(C7:AF7,"*HD*")))-(COUNTIF(C7:AF7,"*PL*"))</f>
        <v>21</v>
      </c>
      <c r="AH7" s="21">
        <f t="shared" ref="AH7:AH8" si="3">COUNTIF(C7:AF7,"PL")</f>
        <v>0</v>
      </c>
      <c r="AI7" s="21">
        <f t="shared" ref="AI7:AI8" si="4">COUNTIF(C7:AF7,"UL")+(0.5*COUNTIF(C7:AF7,"*HD*"))</f>
        <v>0</v>
      </c>
      <c r="AJ7" s="21">
        <f t="shared" ref="AJ7:AJ8" si="5">COUNTIF(C7:AF7,"LOP")</f>
        <v>0</v>
      </c>
      <c r="AK7" s="21">
        <f t="shared" ref="AK7:AK42" si="6">COUNTIFS(B7:AF7,"*P*",$B$4:$AF$4,"MH")</f>
        <v>0</v>
      </c>
      <c r="AL7" s="21">
        <f t="shared" ref="AL7:AL42" si="7">COUNTIFS(B7:AF7,"*P*",$B$4:$AF$4,"OH")</f>
        <v>0</v>
      </c>
      <c r="AM7" s="21">
        <f t="shared" ref="AM7:AM42" si="8">COUNTIFS(B7:AF7,"*P*",$B$4:$AF$4,"OH")+COUNTIFS(B7:AF7,"*P*",$B$4:$AF$4,"MH")</f>
        <v>0</v>
      </c>
      <c r="AN7" s="21">
        <f t="shared" ref="AN7:AN42" si="9">COUNTIF(B7:AF7,"OH")</f>
        <v>0</v>
      </c>
      <c r="AO7" s="21">
        <f t="shared" ref="AO7:AO8" si="10">COUNTIF(C7:AF7,"*LL*")</f>
        <v>0</v>
      </c>
      <c r="AP7" s="21">
        <f t="shared" ref="AP7:AP42" si="11">COUNTIFS(B7:AF7,"*WH*",$B$4:$AF$4,"&lt;&gt;"&amp;"MH")</f>
        <v>0</v>
      </c>
    </row>
    <row r="8" spans="1:42" ht="14.5" x14ac:dyDescent="0.35">
      <c r="A8" s="21" t="s">
        <v>55</v>
      </c>
      <c r="B8" s="21" t="s">
        <v>53</v>
      </c>
      <c r="C8" s="21" t="s">
        <v>53</v>
      </c>
      <c r="D8" s="21" t="s">
        <v>53</v>
      </c>
      <c r="E8" s="21" t="s">
        <v>53</v>
      </c>
      <c r="F8" s="21" t="s">
        <v>53</v>
      </c>
      <c r="G8" s="21" t="s">
        <v>54</v>
      </c>
      <c r="H8" s="21" t="s">
        <v>54</v>
      </c>
      <c r="I8" s="21" t="s">
        <v>53</v>
      </c>
      <c r="J8" s="21" t="s">
        <v>56</v>
      </c>
      <c r="K8" s="21" t="s">
        <v>53</v>
      </c>
      <c r="L8" s="21" t="s">
        <v>56</v>
      </c>
      <c r="M8" s="21" t="s">
        <v>53</v>
      </c>
      <c r="N8" s="21" t="s">
        <v>54</v>
      </c>
      <c r="O8" s="21" t="s">
        <v>54</v>
      </c>
      <c r="P8" s="21" t="s">
        <v>53</v>
      </c>
      <c r="Q8" s="21" t="s">
        <v>53</v>
      </c>
      <c r="R8" s="21" t="s">
        <v>53</v>
      </c>
      <c r="S8" s="21" t="s">
        <v>56</v>
      </c>
      <c r="T8" s="21" t="s">
        <v>53</v>
      </c>
      <c r="U8" s="21" t="s">
        <v>54</v>
      </c>
      <c r="V8" s="21" t="s">
        <v>54</v>
      </c>
      <c r="W8" s="21" t="s">
        <v>53</v>
      </c>
      <c r="X8" s="21" t="s">
        <v>53</v>
      </c>
      <c r="Y8" s="21" t="s">
        <v>56</v>
      </c>
      <c r="Z8" s="21" t="s">
        <v>56</v>
      </c>
      <c r="AA8" s="21" t="s">
        <v>56</v>
      </c>
      <c r="AB8" s="21" t="s">
        <v>54</v>
      </c>
      <c r="AC8" s="21" t="s">
        <v>54</v>
      </c>
      <c r="AD8" s="21" t="s">
        <v>53</v>
      </c>
      <c r="AE8" s="21" t="s">
        <v>56</v>
      </c>
      <c r="AF8" s="21"/>
      <c r="AG8" s="21">
        <f t="shared" si="2"/>
        <v>21</v>
      </c>
      <c r="AH8" s="21">
        <f t="shared" si="3"/>
        <v>0</v>
      </c>
      <c r="AI8" s="21">
        <f t="shared" si="4"/>
        <v>0</v>
      </c>
      <c r="AJ8" s="21">
        <f t="shared" si="5"/>
        <v>0</v>
      </c>
      <c r="AK8" s="21">
        <f t="shared" si="6"/>
        <v>0</v>
      </c>
      <c r="AL8" s="21">
        <f t="shared" si="7"/>
        <v>0</v>
      </c>
      <c r="AM8" s="21">
        <f t="shared" si="8"/>
        <v>0</v>
      </c>
      <c r="AN8" s="21">
        <f t="shared" si="9"/>
        <v>0</v>
      </c>
      <c r="AO8" s="21">
        <f t="shared" si="10"/>
        <v>7</v>
      </c>
      <c r="AP8" s="21">
        <f t="shared" si="11"/>
        <v>0</v>
      </c>
    </row>
    <row r="9" spans="1:42" ht="14.5" x14ac:dyDescent="0.35">
      <c r="A9" s="21" t="s">
        <v>57</v>
      </c>
      <c r="B9" s="21" t="s">
        <v>56</v>
      </c>
      <c r="C9" s="21" t="s">
        <v>19</v>
      </c>
      <c r="D9" s="21" t="s">
        <v>53</v>
      </c>
      <c r="E9" s="21" t="s">
        <v>53</v>
      </c>
      <c r="F9" s="21" t="s">
        <v>53</v>
      </c>
      <c r="G9" s="21" t="s">
        <v>54</v>
      </c>
      <c r="H9" s="21" t="s">
        <v>54</v>
      </c>
      <c r="I9" s="21" t="s">
        <v>56</v>
      </c>
      <c r="J9" s="21" t="s">
        <v>53</v>
      </c>
      <c r="K9" s="21" t="s">
        <v>53</v>
      </c>
      <c r="L9" s="21" t="s">
        <v>53</v>
      </c>
      <c r="M9" s="21" t="s">
        <v>53</v>
      </c>
      <c r="N9" s="21" t="s">
        <v>54</v>
      </c>
      <c r="O9" s="21" t="s">
        <v>54</v>
      </c>
      <c r="P9" s="21" t="s">
        <v>56</v>
      </c>
      <c r="Q9" s="21" t="s">
        <v>56</v>
      </c>
      <c r="R9" s="21" t="s">
        <v>56</v>
      </c>
      <c r="S9" s="21" t="s">
        <v>56</v>
      </c>
      <c r="T9" s="21" t="s">
        <v>53</v>
      </c>
      <c r="U9" s="21" t="s">
        <v>54</v>
      </c>
      <c r="V9" s="21" t="s">
        <v>54</v>
      </c>
      <c r="W9" s="21" t="s">
        <v>56</v>
      </c>
      <c r="X9" s="21" t="s">
        <v>53</v>
      </c>
      <c r="Y9" s="21" t="s">
        <v>53</v>
      </c>
      <c r="Z9" s="21" t="s">
        <v>56</v>
      </c>
      <c r="AA9" s="21" t="s">
        <v>56</v>
      </c>
      <c r="AB9" s="21" t="s">
        <v>54</v>
      </c>
      <c r="AC9" s="21" t="s">
        <v>54</v>
      </c>
      <c r="AD9" s="21" t="s">
        <v>56</v>
      </c>
      <c r="AE9" s="21" t="s">
        <v>53</v>
      </c>
      <c r="AF9" s="21"/>
      <c r="AG9" s="21">
        <f t="shared" ref="AG9:AG42" si="12">(COUNTIF(B9:AF9,"P*")+(0.5*COUNTIF(B9:AF9,"*HD*")))-(COUNTIF(B9:AF9,"*PL*"))</f>
        <v>21</v>
      </c>
      <c r="AH9" s="21">
        <f t="shared" ref="AH9:AH42" si="13">COUNTIF(B9:AF9,"PL")</f>
        <v>0</v>
      </c>
      <c r="AI9" s="21">
        <f t="shared" ref="AI9:AI42" si="14">COUNTIF(B9:AF9,"UL")+(0.5*COUNTIF(B9:AF9,"*HD*"))</f>
        <v>1</v>
      </c>
      <c r="AJ9" s="21">
        <f t="shared" ref="AJ9:AJ42" si="15">COUNTIF(B9:AF9,"LOP")</f>
        <v>0</v>
      </c>
      <c r="AK9" s="21">
        <f t="shared" si="6"/>
        <v>0</v>
      </c>
      <c r="AL9" s="21">
        <f t="shared" si="7"/>
        <v>0</v>
      </c>
      <c r="AM9" s="21">
        <f t="shared" si="8"/>
        <v>0</v>
      </c>
      <c r="AN9" s="21">
        <f t="shared" si="9"/>
        <v>0</v>
      </c>
      <c r="AO9" s="21">
        <f t="shared" ref="AO9:AO42" si="16">COUNTIF(B9:AF9,"*LL*")</f>
        <v>10</v>
      </c>
      <c r="AP9" s="21">
        <f t="shared" si="11"/>
        <v>0</v>
      </c>
    </row>
    <row r="10" spans="1:42" ht="14.5" x14ac:dyDescent="0.35">
      <c r="A10" s="21" t="s">
        <v>58</v>
      </c>
      <c r="B10" s="21" t="s">
        <v>53</v>
      </c>
      <c r="C10" s="21" t="s">
        <v>56</v>
      </c>
      <c r="D10" s="21" t="s">
        <v>56</v>
      </c>
      <c r="E10" s="21" t="s">
        <v>56</v>
      </c>
      <c r="F10" s="21" t="s">
        <v>53</v>
      </c>
      <c r="G10" s="21" t="s">
        <v>54</v>
      </c>
      <c r="H10" s="21" t="s">
        <v>54</v>
      </c>
      <c r="I10" s="21" t="s">
        <v>56</v>
      </c>
      <c r="J10" s="21" t="s">
        <v>53</v>
      </c>
      <c r="K10" s="21" t="s">
        <v>56</v>
      </c>
      <c r="L10" s="21" t="s">
        <v>56</v>
      </c>
      <c r="M10" s="21" t="s">
        <v>53</v>
      </c>
      <c r="N10" s="21" t="s">
        <v>54</v>
      </c>
      <c r="O10" s="21" t="s">
        <v>54</v>
      </c>
      <c r="P10" s="21" t="s">
        <v>56</v>
      </c>
      <c r="Q10" s="21" t="s">
        <v>56</v>
      </c>
      <c r="R10" s="21" t="s">
        <v>56</v>
      </c>
      <c r="S10" s="21" t="s">
        <v>62</v>
      </c>
      <c r="T10" s="21" t="s">
        <v>56</v>
      </c>
      <c r="U10" s="21" t="s">
        <v>54</v>
      </c>
      <c r="V10" s="21" t="s">
        <v>54</v>
      </c>
      <c r="W10" s="21" t="s">
        <v>56</v>
      </c>
      <c r="X10" s="21" t="s">
        <v>53</v>
      </c>
      <c r="Y10" s="21" t="s">
        <v>56</v>
      </c>
      <c r="Z10" s="21" t="s">
        <v>19</v>
      </c>
      <c r="AA10" s="21" t="s">
        <v>53</v>
      </c>
      <c r="AB10" s="21" t="s">
        <v>54</v>
      </c>
      <c r="AC10" s="21" t="s">
        <v>54</v>
      </c>
      <c r="AD10" s="21" t="s">
        <v>56</v>
      </c>
      <c r="AE10" s="21"/>
      <c r="AF10" s="21"/>
      <c r="AG10" s="21">
        <f t="shared" si="12"/>
        <v>20</v>
      </c>
      <c r="AH10" s="21">
        <f t="shared" si="13"/>
        <v>0</v>
      </c>
      <c r="AI10" s="21">
        <f t="shared" si="14"/>
        <v>1</v>
      </c>
      <c r="AJ10" s="21">
        <f t="shared" si="15"/>
        <v>0</v>
      </c>
      <c r="AK10" s="21">
        <f t="shared" si="6"/>
        <v>0</v>
      </c>
      <c r="AL10" s="21">
        <f t="shared" si="7"/>
        <v>0</v>
      </c>
      <c r="AM10" s="21">
        <f t="shared" si="8"/>
        <v>0</v>
      </c>
      <c r="AN10" s="21">
        <f t="shared" si="9"/>
        <v>0</v>
      </c>
      <c r="AO10" s="21">
        <f t="shared" si="16"/>
        <v>13</v>
      </c>
      <c r="AP10" s="21">
        <f t="shared" si="11"/>
        <v>1</v>
      </c>
    </row>
    <row r="11" spans="1:42" ht="14.5" x14ac:dyDescent="0.35">
      <c r="A11" s="21" t="s">
        <v>59</v>
      </c>
      <c r="B11" s="21" t="s">
        <v>53</v>
      </c>
      <c r="C11" s="21" t="s">
        <v>53</v>
      </c>
      <c r="D11" s="21" t="s">
        <v>53</v>
      </c>
      <c r="E11" s="21" t="s">
        <v>53</v>
      </c>
      <c r="F11" s="21" t="s">
        <v>53</v>
      </c>
      <c r="G11" s="21" t="s">
        <v>54</v>
      </c>
      <c r="H11" s="21" t="s">
        <v>54</v>
      </c>
      <c r="I11" s="21" t="s">
        <v>53</v>
      </c>
      <c r="J11" s="21" t="s">
        <v>54</v>
      </c>
      <c r="K11" s="21" t="s">
        <v>54</v>
      </c>
      <c r="L11" s="21" t="s">
        <v>53</v>
      </c>
      <c r="M11" s="21" t="s">
        <v>53</v>
      </c>
      <c r="N11" s="21" t="s">
        <v>62</v>
      </c>
      <c r="O11" s="21" t="s">
        <v>62</v>
      </c>
      <c r="P11" s="21" t="s">
        <v>53</v>
      </c>
      <c r="Q11" s="21" t="s">
        <v>54</v>
      </c>
      <c r="R11" s="21" t="s">
        <v>54</v>
      </c>
      <c r="S11" s="21" t="s">
        <v>53</v>
      </c>
      <c r="T11" s="21" t="s">
        <v>53</v>
      </c>
      <c r="U11" s="21" t="s">
        <v>62</v>
      </c>
      <c r="V11" s="21" t="s">
        <v>62</v>
      </c>
      <c r="W11" s="21" t="s">
        <v>53</v>
      </c>
      <c r="X11" s="21" t="s">
        <v>54</v>
      </c>
      <c r="Y11" s="21" t="s">
        <v>54</v>
      </c>
      <c r="Z11" s="21" t="s">
        <v>16</v>
      </c>
      <c r="AA11" s="21" t="s">
        <v>16</v>
      </c>
      <c r="AB11" s="21" t="s">
        <v>62</v>
      </c>
      <c r="AC11" s="21" t="s">
        <v>62</v>
      </c>
      <c r="AD11" s="21" t="s">
        <v>53</v>
      </c>
      <c r="AE11" s="21" t="s">
        <v>54</v>
      </c>
      <c r="AF11" s="21"/>
      <c r="AG11" s="21">
        <f t="shared" si="12"/>
        <v>19</v>
      </c>
      <c r="AH11" s="21">
        <f t="shared" si="13"/>
        <v>2</v>
      </c>
      <c r="AI11" s="21">
        <f t="shared" si="14"/>
        <v>0</v>
      </c>
      <c r="AJ11" s="21">
        <f t="shared" si="15"/>
        <v>0</v>
      </c>
      <c r="AK11" s="21">
        <f t="shared" si="6"/>
        <v>0</v>
      </c>
      <c r="AL11" s="21">
        <f t="shared" si="7"/>
        <v>0</v>
      </c>
      <c r="AM11" s="21">
        <f t="shared" si="8"/>
        <v>0</v>
      </c>
      <c r="AN11" s="21">
        <f t="shared" si="9"/>
        <v>0</v>
      </c>
      <c r="AO11" s="21">
        <f t="shared" si="16"/>
        <v>0</v>
      </c>
      <c r="AP11" s="21">
        <f t="shared" si="11"/>
        <v>6</v>
      </c>
    </row>
    <row r="12" spans="1:42" ht="14.5" x14ac:dyDescent="0.35">
      <c r="A12" s="21" t="s">
        <v>60</v>
      </c>
      <c r="B12" s="21" t="s">
        <v>19</v>
      </c>
      <c r="C12" s="21" t="s">
        <v>56</v>
      </c>
      <c r="D12" s="21" t="s">
        <v>19</v>
      </c>
      <c r="E12" s="21" t="s">
        <v>62</v>
      </c>
      <c r="F12" s="21" t="s">
        <v>62</v>
      </c>
      <c r="G12" s="21" t="s">
        <v>54</v>
      </c>
      <c r="H12" s="21" t="s">
        <v>54</v>
      </c>
      <c r="I12" s="21" t="s">
        <v>53</v>
      </c>
      <c r="J12" s="21" t="s">
        <v>53</v>
      </c>
      <c r="K12" s="21" t="s">
        <v>54</v>
      </c>
      <c r="L12" s="21" t="s">
        <v>54</v>
      </c>
      <c r="M12" s="21" t="s">
        <v>53</v>
      </c>
      <c r="N12" s="21" t="s">
        <v>62</v>
      </c>
      <c r="O12" s="21" t="s">
        <v>62</v>
      </c>
      <c r="P12" s="21" t="s">
        <v>56</v>
      </c>
      <c r="Q12" s="21" t="s">
        <v>56</v>
      </c>
      <c r="R12" s="21" t="s">
        <v>54</v>
      </c>
      <c r="S12" s="21" t="s">
        <v>54</v>
      </c>
      <c r="T12" s="21" t="s">
        <v>53</v>
      </c>
      <c r="U12" s="21" t="s">
        <v>62</v>
      </c>
      <c r="V12" s="21" t="s">
        <v>62</v>
      </c>
      <c r="W12" s="21" t="s">
        <v>53</v>
      </c>
      <c r="X12" s="21" t="s">
        <v>53</v>
      </c>
      <c r="Y12" s="21" t="s">
        <v>54</v>
      </c>
      <c r="Z12" s="21" t="s">
        <v>54</v>
      </c>
      <c r="AA12" s="21" t="s">
        <v>53</v>
      </c>
      <c r="AB12" s="21" t="s">
        <v>62</v>
      </c>
      <c r="AC12" s="21" t="s">
        <v>62</v>
      </c>
      <c r="AD12" s="21" t="s">
        <v>62</v>
      </c>
      <c r="AE12" s="21" t="s">
        <v>56</v>
      </c>
      <c r="AF12" s="21"/>
      <c r="AG12" s="21">
        <f t="shared" si="12"/>
        <v>20</v>
      </c>
      <c r="AH12" s="21">
        <f t="shared" si="13"/>
        <v>0</v>
      </c>
      <c r="AI12" s="21">
        <f t="shared" si="14"/>
        <v>2</v>
      </c>
      <c r="AJ12" s="21">
        <f t="shared" si="15"/>
        <v>0</v>
      </c>
      <c r="AK12" s="21">
        <f t="shared" si="6"/>
        <v>0</v>
      </c>
      <c r="AL12" s="21">
        <f t="shared" si="7"/>
        <v>0</v>
      </c>
      <c r="AM12" s="21">
        <f t="shared" si="8"/>
        <v>0</v>
      </c>
      <c r="AN12" s="21">
        <f t="shared" si="9"/>
        <v>0</v>
      </c>
      <c r="AO12" s="21">
        <f t="shared" si="16"/>
        <v>4</v>
      </c>
      <c r="AP12" s="21">
        <f t="shared" si="11"/>
        <v>9</v>
      </c>
    </row>
    <row r="13" spans="1:42" ht="14.5" x14ac:dyDescent="0.35">
      <c r="A13" s="21" t="s">
        <v>61</v>
      </c>
      <c r="B13" s="21" t="s">
        <v>56</v>
      </c>
      <c r="C13" s="21" t="s">
        <v>53</v>
      </c>
      <c r="D13" s="21" t="s">
        <v>56</v>
      </c>
      <c r="E13" s="21" t="s">
        <v>53</v>
      </c>
      <c r="F13" s="21" t="s">
        <v>53</v>
      </c>
      <c r="G13" s="21" t="s">
        <v>54</v>
      </c>
      <c r="H13" s="21" t="s">
        <v>54</v>
      </c>
      <c r="I13" s="21" t="s">
        <v>56</v>
      </c>
      <c r="J13" s="21" t="s">
        <v>53</v>
      </c>
      <c r="K13" s="21" t="s">
        <v>53</v>
      </c>
      <c r="L13" s="21" t="s">
        <v>53</v>
      </c>
      <c r="M13" s="21" t="s">
        <v>53</v>
      </c>
      <c r="N13" s="21" t="s">
        <v>54</v>
      </c>
      <c r="O13" s="21" t="s">
        <v>54</v>
      </c>
      <c r="P13" s="21" t="s">
        <v>53</v>
      </c>
      <c r="Q13" s="21" t="s">
        <v>56</v>
      </c>
      <c r="R13" s="21" t="s">
        <v>53</v>
      </c>
      <c r="S13" s="21" t="s">
        <v>53</v>
      </c>
      <c r="T13" s="21" t="s">
        <v>56</v>
      </c>
      <c r="U13" s="21" t="s">
        <v>54</v>
      </c>
      <c r="V13" s="21" t="s">
        <v>54</v>
      </c>
      <c r="W13" s="21" t="s">
        <v>53</v>
      </c>
      <c r="X13" s="21" t="s">
        <v>19</v>
      </c>
      <c r="Y13" s="21" t="s">
        <v>53</v>
      </c>
      <c r="Z13" s="21" t="s">
        <v>56</v>
      </c>
      <c r="AA13" s="21" t="s">
        <v>56</v>
      </c>
      <c r="AB13" s="21" t="s">
        <v>54</v>
      </c>
      <c r="AC13" s="21" t="s">
        <v>54</v>
      </c>
      <c r="AD13" s="21" t="s">
        <v>53</v>
      </c>
      <c r="AE13" s="21" t="s">
        <v>53</v>
      </c>
      <c r="AF13" s="21"/>
      <c r="AG13" s="21">
        <f t="shared" si="12"/>
        <v>21</v>
      </c>
      <c r="AH13" s="21">
        <f t="shared" si="13"/>
        <v>0</v>
      </c>
      <c r="AI13" s="21">
        <f t="shared" si="14"/>
        <v>1</v>
      </c>
      <c r="AJ13" s="21">
        <f t="shared" si="15"/>
        <v>0</v>
      </c>
      <c r="AK13" s="21">
        <f t="shared" si="6"/>
        <v>0</v>
      </c>
      <c r="AL13" s="21">
        <f t="shared" si="7"/>
        <v>0</v>
      </c>
      <c r="AM13" s="21">
        <f t="shared" si="8"/>
        <v>0</v>
      </c>
      <c r="AN13" s="21">
        <f t="shared" si="9"/>
        <v>0</v>
      </c>
      <c r="AO13" s="21">
        <f t="shared" si="16"/>
        <v>7</v>
      </c>
      <c r="AP13" s="21">
        <f t="shared" si="11"/>
        <v>0</v>
      </c>
    </row>
    <row r="14" spans="1:42" ht="14.5" hidden="1" x14ac:dyDescent="0.35">
      <c r="A14" s="22" t="s">
        <v>63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>
        <f t="shared" si="12"/>
        <v>0</v>
      </c>
      <c r="AH14" s="21">
        <f t="shared" si="13"/>
        <v>0</v>
      </c>
      <c r="AI14" s="21">
        <f t="shared" si="14"/>
        <v>0</v>
      </c>
      <c r="AJ14" s="21">
        <f t="shared" si="15"/>
        <v>0</v>
      </c>
      <c r="AK14" s="21">
        <f t="shared" si="6"/>
        <v>0</v>
      </c>
      <c r="AL14" s="21">
        <f t="shared" si="7"/>
        <v>0</v>
      </c>
      <c r="AM14" s="21">
        <f t="shared" si="8"/>
        <v>0</v>
      </c>
      <c r="AN14" s="21">
        <f t="shared" si="9"/>
        <v>0</v>
      </c>
      <c r="AO14" s="21">
        <f t="shared" si="16"/>
        <v>0</v>
      </c>
      <c r="AP14" s="21">
        <f t="shared" si="11"/>
        <v>0</v>
      </c>
    </row>
    <row r="15" spans="1:42" ht="14.5" x14ac:dyDescent="0.35">
      <c r="A15" s="21" t="s">
        <v>64</v>
      </c>
      <c r="B15" s="21" t="s">
        <v>53</v>
      </c>
      <c r="C15" s="21" t="s">
        <v>56</v>
      </c>
      <c r="D15" s="21" t="s">
        <v>53</v>
      </c>
      <c r="E15" s="21" t="s">
        <v>54</v>
      </c>
      <c r="F15" s="21" t="s">
        <v>54</v>
      </c>
      <c r="G15" s="21" t="s">
        <v>62</v>
      </c>
      <c r="H15" s="21" t="s">
        <v>53</v>
      </c>
      <c r="I15" s="21" t="s">
        <v>56</v>
      </c>
      <c r="J15" s="21" t="s">
        <v>53</v>
      </c>
      <c r="K15" s="21" t="s">
        <v>53</v>
      </c>
      <c r="L15" s="21" t="s">
        <v>53</v>
      </c>
      <c r="M15" s="21" t="s">
        <v>54</v>
      </c>
      <c r="N15" s="21" t="s">
        <v>54</v>
      </c>
      <c r="O15" s="21" t="s">
        <v>62</v>
      </c>
      <c r="P15" s="21" t="s">
        <v>19</v>
      </c>
      <c r="Q15" s="21" t="s">
        <v>53</v>
      </c>
      <c r="R15" s="21" t="s">
        <v>53</v>
      </c>
      <c r="S15" s="21" t="s">
        <v>53</v>
      </c>
      <c r="T15" s="21" t="s">
        <v>53</v>
      </c>
      <c r="U15" s="21" t="s">
        <v>54</v>
      </c>
      <c r="V15" s="21" t="s">
        <v>54</v>
      </c>
      <c r="W15" s="21" t="s">
        <v>53</v>
      </c>
      <c r="X15" s="21" t="s">
        <v>53</v>
      </c>
      <c r="Y15" s="21" t="s">
        <v>53</v>
      </c>
      <c r="Z15" s="21" t="s">
        <v>53</v>
      </c>
      <c r="AA15" s="21" t="s">
        <v>53</v>
      </c>
      <c r="AB15" s="21" t="s">
        <v>54</v>
      </c>
      <c r="AC15" s="21" t="s">
        <v>54</v>
      </c>
      <c r="AD15" s="21" t="s">
        <v>56</v>
      </c>
      <c r="AE15" s="21" t="s">
        <v>53</v>
      </c>
      <c r="AF15" s="21"/>
      <c r="AG15" s="21">
        <f t="shared" si="12"/>
        <v>21</v>
      </c>
      <c r="AH15" s="21">
        <f t="shared" si="13"/>
        <v>0</v>
      </c>
      <c r="AI15" s="21">
        <f t="shared" si="14"/>
        <v>1</v>
      </c>
      <c r="AJ15" s="21">
        <f t="shared" si="15"/>
        <v>0</v>
      </c>
      <c r="AK15" s="21">
        <f t="shared" si="6"/>
        <v>0</v>
      </c>
      <c r="AL15" s="21">
        <f t="shared" si="7"/>
        <v>0</v>
      </c>
      <c r="AM15" s="21">
        <f t="shared" si="8"/>
        <v>0</v>
      </c>
      <c r="AN15" s="21">
        <f t="shared" si="9"/>
        <v>0</v>
      </c>
      <c r="AO15" s="21">
        <f t="shared" si="16"/>
        <v>3</v>
      </c>
      <c r="AP15" s="21">
        <f t="shared" si="11"/>
        <v>2</v>
      </c>
    </row>
    <row r="16" spans="1:42" ht="14.5" x14ac:dyDescent="0.35">
      <c r="A16" s="21" t="s">
        <v>65</v>
      </c>
      <c r="B16" s="21" t="s">
        <v>54</v>
      </c>
      <c r="C16" s="21" t="s">
        <v>54</v>
      </c>
      <c r="D16" s="21" t="s">
        <v>53</v>
      </c>
      <c r="E16" s="21" t="s">
        <v>53</v>
      </c>
      <c r="F16" s="21" t="s">
        <v>53</v>
      </c>
      <c r="G16" s="21" t="s">
        <v>62</v>
      </c>
      <c r="H16" s="21" t="s">
        <v>62</v>
      </c>
      <c r="I16" s="21" t="s">
        <v>53</v>
      </c>
      <c r="J16" s="21" t="s">
        <v>53</v>
      </c>
      <c r="K16" s="21" t="s">
        <v>53</v>
      </c>
      <c r="L16" s="21" t="s">
        <v>53</v>
      </c>
      <c r="M16" s="21" t="s">
        <v>53</v>
      </c>
      <c r="N16" s="21" t="s">
        <v>54</v>
      </c>
      <c r="O16" s="21" t="s">
        <v>54</v>
      </c>
      <c r="P16" s="21" t="s">
        <v>53</v>
      </c>
      <c r="Q16" s="21" t="s">
        <v>56</v>
      </c>
      <c r="R16" s="21" t="s">
        <v>53</v>
      </c>
      <c r="S16" s="21" t="s">
        <v>53</v>
      </c>
      <c r="T16" s="21" t="s">
        <v>16</v>
      </c>
      <c r="U16" s="21" t="s">
        <v>54</v>
      </c>
      <c r="V16" s="21" t="s">
        <v>54</v>
      </c>
      <c r="W16" s="21" t="s">
        <v>56</v>
      </c>
      <c r="X16" s="21" t="s">
        <v>53</v>
      </c>
      <c r="Y16" s="21" t="s">
        <v>53</v>
      </c>
      <c r="Z16" s="21" t="s">
        <v>53</v>
      </c>
      <c r="AA16" s="21" t="s">
        <v>53</v>
      </c>
      <c r="AB16" s="21" t="s">
        <v>54</v>
      </c>
      <c r="AC16" s="21" t="s">
        <v>54</v>
      </c>
      <c r="AD16" s="21" t="s">
        <v>53</v>
      </c>
      <c r="AE16" s="21" t="s">
        <v>53</v>
      </c>
      <c r="AF16" s="21"/>
      <c r="AG16" s="21">
        <f t="shared" si="12"/>
        <v>21</v>
      </c>
      <c r="AH16" s="21">
        <f t="shared" si="13"/>
        <v>1</v>
      </c>
      <c r="AI16" s="21">
        <f t="shared" si="14"/>
        <v>0</v>
      </c>
      <c r="AJ16" s="21">
        <f t="shared" si="15"/>
        <v>0</v>
      </c>
      <c r="AK16" s="21">
        <f t="shared" si="6"/>
        <v>0</v>
      </c>
      <c r="AL16" s="21">
        <f t="shared" si="7"/>
        <v>0</v>
      </c>
      <c r="AM16" s="21">
        <f t="shared" si="8"/>
        <v>0</v>
      </c>
      <c r="AN16" s="21">
        <f t="shared" si="9"/>
        <v>0</v>
      </c>
      <c r="AO16" s="21">
        <f t="shared" si="16"/>
        <v>2</v>
      </c>
      <c r="AP16" s="21">
        <f t="shared" si="11"/>
        <v>2</v>
      </c>
    </row>
    <row r="17" spans="1:42" ht="14.5" x14ac:dyDescent="0.35">
      <c r="A17" s="21" t="s">
        <v>66</v>
      </c>
      <c r="B17" s="21" t="s">
        <v>67</v>
      </c>
      <c r="C17" s="21" t="s">
        <v>67</v>
      </c>
      <c r="D17" s="21" t="s">
        <v>67</v>
      </c>
      <c r="E17" s="21" t="s">
        <v>67</v>
      </c>
      <c r="F17" s="21" t="s">
        <v>67</v>
      </c>
      <c r="G17" s="21" t="s">
        <v>54</v>
      </c>
      <c r="H17" s="21" t="s">
        <v>54</v>
      </c>
      <c r="I17" s="21" t="s">
        <v>67</v>
      </c>
      <c r="J17" s="21" t="s">
        <v>67</v>
      </c>
      <c r="K17" s="21" t="s">
        <v>67</v>
      </c>
      <c r="L17" s="21" t="s">
        <v>67</v>
      </c>
      <c r="M17" s="21" t="s">
        <v>67</v>
      </c>
      <c r="N17" s="21" t="s">
        <v>54</v>
      </c>
      <c r="O17" s="21" t="s">
        <v>54</v>
      </c>
      <c r="P17" s="21" t="s">
        <v>67</v>
      </c>
      <c r="Q17" s="21" t="s">
        <v>67</v>
      </c>
      <c r="R17" s="21" t="s">
        <v>67</v>
      </c>
      <c r="S17" s="21" t="s">
        <v>67</v>
      </c>
      <c r="T17" s="21" t="s">
        <v>67</v>
      </c>
      <c r="U17" s="21" t="s">
        <v>54</v>
      </c>
      <c r="V17" s="21" t="s">
        <v>54</v>
      </c>
      <c r="W17" s="21" t="s">
        <v>67</v>
      </c>
      <c r="X17" s="21" t="s">
        <v>67</v>
      </c>
      <c r="Y17" s="21" t="s">
        <v>67</v>
      </c>
      <c r="Z17" s="21" t="s">
        <v>67</v>
      </c>
      <c r="AA17" s="21" t="s">
        <v>67</v>
      </c>
      <c r="AB17" s="21" t="s">
        <v>54</v>
      </c>
      <c r="AC17" s="21" t="s">
        <v>54</v>
      </c>
      <c r="AD17" s="21" t="s">
        <v>67</v>
      </c>
      <c r="AE17" s="21" t="s">
        <v>67</v>
      </c>
      <c r="AF17" s="21"/>
      <c r="AG17" s="21">
        <f t="shared" si="12"/>
        <v>0</v>
      </c>
      <c r="AH17" s="21">
        <f t="shared" si="13"/>
        <v>0</v>
      </c>
      <c r="AI17" s="21">
        <f t="shared" si="14"/>
        <v>0</v>
      </c>
      <c r="AJ17" s="21">
        <f t="shared" si="15"/>
        <v>0</v>
      </c>
      <c r="AK17" s="21">
        <f t="shared" si="6"/>
        <v>0</v>
      </c>
      <c r="AL17" s="21">
        <f t="shared" si="7"/>
        <v>0</v>
      </c>
      <c r="AM17" s="21">
        <f t="shared" si="8"/>
        <v>0</v>
      </c>
      <c r="AN17" s="21">
        <f t="shared" si="9"/>
        <v>0</v>
      </c>
      <c r="AO17" s="21">
        <f t="shared" si="16"/>
        <v>0</v>
      </c>
      <c r="AP17" s="21">
        <f t="shared" si="11"/>
        <v>0</v>
      </c>
    </row>
    <row r="18" spans="1:42" ht="14.5" x14ac:dyDescent="0.35">
      <c r="A18" s="21" t="s">
        <v>68</v>
      </c>
      <c r="B18" s="21" t="s">
        <v>54</v>
      </c>
      <c r="C18" s="21" t="s">
        <v>54</v>
      </c>
      <c r="D18" s="21" t="s">
        <v>53</v>
      </c>
      <c r="E18" s="21" t="s">
        <v>53</v>
      </c>
      <c r="F18" s="21" t="s">
        <v>53</v>
      </c>
      <c r="G18" s="21" t="s">
        <v>62</v>
      </c>
      <c r="H18" s="21" t="s">
        <v>62</v>
      </c>
      <c r="I18" s="21" t="s">
        <v>54</v>
      </c>
      <c r="J18" s="21" t="s">
        <v>19</v>
      </c>
      <c r="K18" s="21" t="s">
        <v>53</v>
      </c>
      <c r="L18" s="21" t="s">
        <v>53</v>
      </c>
      <c r="M18" s="21" t="s">
        <v>53</v>
      </c>
      <c r="N18" s="21" t="s">
        <v>62</v>
      </c>
      <c r="O18" s="21" t="s">
        <v>54</v>
      </c>
      <c r="P18" s="21" t="s">
        <v>53</v>
      </c>
      <c r="Q18" s="21" t="s">
        <v>53</v>
      </c>
      <c r="R18" s="21" t="s">
        <v>53</v>
      </c>
      <c r="S18" s="21" t="s">
        <v>16</v>
      </c>
      <c r="T18" s="21" t="s">
        <v>53</v>
      </c>
      <c r="U18" s="21" t="s">
        <v>54</v>
      </c>
      <c r="V18" s="21" t="s">
        <v>54</v>
      </c>
      <c r="W18" s="21" t="s">
        <v>53</v>
      </c>
      <c r="X18" s="21" t="s">
        <v>56</v>
      </c>
      <c r="Y18" s="21" t="s">
        <v>53</v>
      </c>
      <c r="Z18" s="21" t="s">
        <v>56</v>
      </c>
      <c r="AA18" s="21" t="s">
        <v>56</v>
      </c>
      <c r="AB18" s="21" t="s">
        <v>54</v>
      </c>
      <c r="AC18" s="21" t="s">
        <v>54</v>
      </c>
      <c r="AD18" s="21" t="s">
        <v>53</v>
      </c>
      <c r="AE18" s="21" t="s">
        <v>53</v>
      </c>
      <c r="AF18" s="21"/>
      <c r="AG18" s="21">
        <f t="shared" si="12"/>
        <v>20</v>
      </c>
      <c r="AH18" s="21">
        <f t="shared" si="13"/>
        <v>1</v>
      </c>
      <c r="AI18" s="21">
        <f t="shared" si="14"/>
        <v>1</v>
      </c>
      <c r="AJ18" s="21">
        <f t="shared" si="15"/>
        <v>0</v>
      </c>
      <c r="AK18" s="21">
        <f t="shared" si="6"/>
        <v>0</v>
      </c>
      <c r="AL18" s="21">
        <f t="shared" si="7"/>
        <v>0</v>
      </c>
      <c r="AM18" s="21">
        <f t="shared" si="8"/>
        <v>0</v>
      </c>
      <c r="AN18" s="21">
        <f t="shared" si="9"/>
        <v>0</v>
      </c>
      <c r="AO18" s="21">
        <f t="shared" si="16"/>
        <v>3</v>
      </c>
      <c r="AP18" s="21">
        <f t="shared" si="11"/>
        <v>3</v>
      </c>
    </row>
    <row r="19" spans="1:42" ht="14.5" x14ac:dyDescent="0.35">
      <c r="A19" s="21" t="s">
        <v>69</v>
      </c>
      <c r="B19" s="21" t="s">
        <v>53</v>
      </c>
      <c r="C19" s="21" t="s">
        <v>54</v>
      </c>
      <c r="D19" s="21" t="s">
        <v>54</v>
      </c>
      <c r="E19" s="21" t="s">
        <v>53</v>
      </c>
      <c r="F19" s="21" t="s">
        <v>62</v>
      </c>
      <c r="G19" s="21" t="s">
        <v>62</v>
      </c>
      <c r="H19" s="21" t="s">
        <v>62</v>
      </c>
      <c r="I19" s="21" t="s">
        <v>54</v>
      </c>
      <c r="J19" s="21" t="s">
        <v>53</v>
      </c>
      <c r="K19" s="21" t="s">
        <v>53</v>
      </c>
      <c r="L19" s="21" t="s">
        <v>53</v>
      </c>
      <c r="M19" s="21" t="s">
        <v>56</v>
      </c>
      <c r="N19" s="21" t="s">
        <v>62</v>
      </c>
      <c r="O19" s="21" t="s">
        <v>54</v>
      </c>
      <c r="P19" s="21" t="s">
        <v>53</v>
      </c>
      <c r="Q19" s="21" t="s">
        <v>53</v>
      </c>
      <c r="R19" s="21" t="s">
        <v>53</v>
      </c>
      <c r="S19" s="21" t="s">
        <v>54</v>
      </c>
      <c r="T19" s="21" t="s">
        <v>54</v>
      </c>
      <c r="U19" s="21" t="s">
        <v>62</v>
      </c>
      <c r="V19" s="21" t="s">
        <v>19</v>
      </c>
      <c r="W19" s="21" t="s">
        <v>53</v>
      </c>
      <c r="X19" s="21" t="s">
        <v>53</v>
      </c>
      <c r="Y19" s="21" t="s">
        <v>56</v>
      </c>
      <c r="Z19" s="21" t="s">
        <v>53</v>
      </c>
      <c r="AA19" s="21" t="s">
        <v>53</v>
      </c>
      <c r="AB19" s="21" t="s">
        <v>54</v>
      </c>
      <c r="AC19" s="21" t="s">
        <v>54</v>
      </c>
      <c r="AD19" s="21" t="s">
        <v>56</v>
      </c>
      <c r="AE19" s="21" t="s">
        <v>53</v>
      </c>
      <c r="AF19" s="21"/>
      <c r="AG19" s="21">
        <f t="shared" si="12"/>
        <v>21</v>
      </c>
      <c r="AH19" s="21">
        <f t="shared" si="13"/>
        <v>0</v>
      </c>
      <c r="AI19" s="21">
        <f t="shared" si="14"/>
        <v>1</v>
      </c>
      <c r="AJ19" s="21">
        <f t="shared" si="15"/>
        <v>0</v>
      </c>
      <c r="AK19" s="21">
        <f t="shared" si="6"/>
        <v>0</v>
      </c>
      <c r="AL19" s="21">
        <f t="shared" si="7"/>
        <v>0</v>
      </c>
      <c r="AM19" s="21">
        <f t="shared" si="8"/>
        <v>0</v>
      </c>
      <c r="AN19" s="21">
        <f t="shared" si="9"/>
        <v>0</v>
      </c>
      <c r="AO19" s="21">
        <f t="shared" si="16"/>
        <v>3</v>
      </c>
      <c r="AP19" s="21">
        <f t="shared" si="11"/>
        <v>5</v>
      </c>
    </row>
    <row r="20" spans="1:42" ht="14.5" hidden="1" x14ac:dyDescent="0.35">
      <c r="A20" s="21" t="s">
        <v>70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>
        <f t="shared" si="12"/>
        <v>0</v>
      </c>
      <c r="AH20" s="21">
        <f t="shared" si="13"/>
        <v>0</v>
      </c>
      <c r="AI20" s="21">
        <f t="shared" si="14"/>
        <v>0</v>
      </c>
      <c r="AJ20" s="21">
        <f t="shared" si="15"/>
        <v>0</v>
      </c>
      <c r="AK20" s="21">
        <f t="shared" si="6"/>
        <v>0</v>
      </c>
      <c r="AL20" s="21">
        <f t="shared" si="7"/>
        <v>0</v>
      </c>
      <c r="AM20" s="21">
        <f t="shared" si="8"/>
        <v>0</v>
      </c>
      <c r="AN20" s="21">
        <f t="shared" si="9"/>
        <v>0</v>
      </c>
      <c r="AO20" s="21">
        <f t="shared" si="16"/>
        <v>0</v>
      </c>
      <c r="AP20" s="21">
        <f t="shared" si="11"/>
        <v>0</v>
      </c>
    </row>
    <row r="21" spans="1:42" ht="14.5" hidden="1" x14ac:dyDescent="0.35">
      <c r="A21" s="22" t="s">
        <v>71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>
        <f t="shared" si="12"/>
        <v>0</v>
      </c>
      <c r="AH21" s="21">
        <f t="shared" si="13"/>
        <v>0</v>
      </c>
      <c r="AI21" s="21">
        <f t="shared" si="14"/>
        <v>0</v>
      </c>
      <c r="AJ21" s="21">
        <f t="shared" si="15"/>
        <v>0</v>
      </c>
      <c r="AK21" s="21">
        <f t="shared" si="6"/>
        <v>0</v>
      </c>
      <c r="AL21" s="21">
        <f t="shared" si="7"/>
        <v>0</v>
      </c>
      <c r="AM21" s="21">
        <f t="shared" si="8"/>
        <v>0</v>
      </c>
      <c r="AN21" s="21">
        <f t="shared" si="9"/>
        <v>0</v>
      </c>
      <c r="AO21" s="21">
        <f t="shared" si="16"/>
        <v>0</v>
      </c>
      <c r="AP21" s="21">
        <f t="shared" si="11"/>
        <v>0</v>
      </c>
    </row>
    <row r="22" spans="1:42" ht="14.5" x14ac:dyDescent="0.35">
      <c r="A22" s="21" t="s">
        <v>72</v>
      </c>
      <c r="B22" s="21" t="s">
        <v>19</v>
      </c>
      <c r="C22" s="21" t="s">
        <v>53</v>
      </c>
      <c r="D22" s="21" t="s">
        <v>54</v>
      </c>
      <c r="E22" s="21" t="s">
        <v>54</v>
      </c>
      <c r="F22" s="21" t="s">
        <v>53</v>
      </c>
      <c r="G22" s="21" t="s">
        <v>62</v>
      </c>
      <c r="H22" s="21" t="s">
        <v>62</v>
      </c>
      <c r="I22" s="21" t="s">
        <v>53</v>
      </c>
      <c r="J22" s="21" t="s">
        <v>53</v>
      </c>
      <c r="K22" s="21" t="s">
        <v>53</v>
      </c>
      <c r="L22" s="21" t="s">
        <v>54</v>
      </c>
      <c r="M22" s="21" t="s">
        <v>53</v>
      </c>
      <c r="N22" s="21" t="s">
        <v>54</v>
      </c>
      <c r="O22" s="21" t="s">
        <v>62</v>
      </c>
      <c r="P22" s="21" t="s">
        <v>53</v>
      </c>
      <c r="Q22" s="21" t="s">
        <v>19</v>
      </c>
      <c r="R22" s="21" t="s">
        <v>16</v>
      </c>
      <c r="S22" s="21" t="s">
        <v>16</v>
      </c>
      <c r="T22" s="21" t="s">
        <v>16</v>
      </c>
      <c r="U22" s="21" t="s">
        <v>54</v>
      </c>
      <c r="V22" s="21" t="s">
        <v>54</v>
      </c>
      <c r="W22" s="21" t="s">
        <v>56</v>
      </c>
      <c r="X22" s="21" t="s">
        <v>53</v>
      </c>
      <c r="Y22" s="21" t="s">
        <v>53</v>
      </c>
      <c r="Z22" s="21" t="s">
        <v>53</v>
      </c>
      <c r="AA22" s="21" t="s">
        <v>53</v>
      </c>
      <c r="AB22" s="21" t="s">
        <v>54</v>
      </c>
      <c r="AC22" s="21" t="s">
        <v>54</v>
      </c>
      <c r="AD22" s="21" t="s">
        <v>53</v>
      </c>
      <c r="AE22" s="21" t="s">
        <v>53</v>
      </c>
      <c r="AF22" s="21"/>
      <c r="AG22" s="21">
        <f t="shared" si="12"/>
        <v>17</v>
      </c>
      <c r="AH22" s="21">
        <f t="shared" si="13"/>
        <v>3</v>
      </c>
      <c r="AI22" s="21">
        <f t="shared" si="14"/>
        <v>2</v>
      </c>
      <c r="AJ22" s="21">
        <f t="shared" si="15"/>
        <v>0</v>
      </c>
      <c r="AK22" s="21">
        <f t="shared" si="6"/>
        <v>0</v>
      </c>
      <c r="AL22" s="21">
        <f t="shared" si="7"/>
        <v>0</v>
      </c>
      <c r="AM22" s="21">
        <f t="shared" si="8"/>
        <v>0</v>
      </c>
      <c r="AN22" s="21">
        <f t="shared" si="9"/>
        <v>0</v>
      </c>
      <c r="AO22" s="21">
        <f t="shared" si="16"/>
        <v>1</v>
      </c>
      <c r="AP22" s="21">
        <f t="shared" si="11"/>
        <v>3</v>
      </c>
    </row>
    <row r="23" spans="1:42" ht="14.5" x14ac:dyDescent="0.35">
      <c r="A23" s="21" t="s">
        <v>73</v>
      </c>
      <c r="B23" s="21" t="s">
        <v>56</v>
      </c>
      <c r="C23" s="21" t="s">
        <v>54</v>
      </c>
      <c r="D23" s="21" t="s">
        <v>54</v>
      </c>
      <c r="E23" s="21" t="s">
        <v>53</v>
      </c>
      <c r="F23" s="21" t="s">
        <v>56</v>
      </c>
      <c r="G23" s="21" t="s">
        <v>62</v>
      </c>
      <c r="H23" s="21" t="s">
        <v>62</v>
      </c>
      <c r="I23" s="21" t="s">
        <v>56</v>
      </c>
      <c r="J23" s="21" t="s">
        <v>53</v>
      </c>
      <c r="K23" s="21" t="s">
        <v>54</v>
      </c>
      <c r="L23" s="21" t="s">
        <v>56</v>
      </c>
      <c r="M23" s="21" t="s">
        <v>53</v>
      </c>
      <c r="N23" s="21" t="s">
        <v>54</v>
      </c>
      <c r="O23" s="21" t="s">
        <v>62</v>
      </c>
      <c r="P23" s="21" t="s">
        <v>56</v>
      </c>
      <c r="Q23" s="21" t="s">
        <v>56</v>
      </c>
      <c r="R23" s="21" t="s">
        <v>19</v>
      </c>
      <c r="S23" s="21" t="s">
        <v>56</v>
      </c>
      <c r="T23" s="21" t="s">
        <v>53</v>
      </c>
      <c r="U23" s="21" t="s">
        <v>54</v>
      </c>
      <c r="V23" s="21" t="s">
        <v>54</v>
      </c>
      <c r="W23" s="21" t="s">
        <v>56</v>
      </c>
      <c r="X23" s="21" t="s">
        <v>56</v>
      </c>
      <c r="Y23" s="21" t="s">
        <v>53</v>
      </c>
      <c r="Z23" s="21" t="s">
        <v>56</v>
      </c>
      <c r="AA23" s="21" t="s">
        <v>53</v>
      </c>
      <c r="AB23" s="21" t="s">
        <v>54</v>
      </c>
      <c r="AC23" s="21" t="s">
        <v>54</v>
      </c>
      <c r="AD23" s="21" t="s">
        <v>53</v>
      </c>
      <c r="AE23" s="21" t="s">
        <v>56</v>
      </c>
      <c r="AF23" s="21"/>
      <c r="AG23" s="21">
        <f t="shared" si="12"/>
        <v>21</v>
      </c>
      <c r="AH23" s="21">
        <f t="shared" si="13"/>
        <v>0</v>
      </c>
      <c r="AI23" s="21">
        <f t="shared" si="14"/>
        <v>1</v>
      </c>
      <c r="AJ23" s="21">
        <f t="shared" si="15"/>
        <v>0</v>
      </c>
      <c r="AK23" s="21">
        <f t="shared" si="6"/>
        <v>0</v>
      </c>
      <c r="AL23" s="21">
        <f t="shared" si="7"/>
        <v>0</v>
      </c>
      <c r="AM23" s="21">
        <f t="shared" si="8"/>
        <v>0</v>
      </c>
      <c r="AN23" s="21">
        <f t="shared" si="9"/>
        <v>0</v>
      </c>
      <c r="AO23" s="21">
        <f t="shared" si="16"/>
        <v>11</v>
      </c>
      <c r="AP23" s="21">
        <f t="shared" si="11"/>
        <v>3</v>
      </c>
    </row>
    <row r="24" spans="1:42" ht="14.5" x14ac:dyDescent="0.35">
      <c r="A24" s="21" t="s">
        <v>74</v>
      </c>
      <c r="B24" s="21" t="s">
        <v>53</v>
      </c>
      <c r="C24" s="21" t="s">
        <v>53</v>
      </c>
      <c r="D24" s="21" t="s">
        <v>53</v>
      </c>
      <c r="E24" s="21" t="s">
        <v>53</v>
      </c>
      <c r="F24" s="21" t="s">
        <v>16</v>
      </c>
      <c r="G24" s="21" t="s">
        <v>54</v>
      </c>
      <c r="H24" s="21" t="s">
        <v>54</v>
      </c>
      <c r="I24" s="21" t="s">
        <v>56</v>
      </c>
      <c r="J24" s="21" t="s">
        <v>53</v>
      </c>
      <c r="K24" s="21" t="s">
        <v>53</v>
      </c>
      <c r="L24" s="21" t="s">
        <v>54</v>
      </c>
      <c r="M24" s="21" t="s">
        <v>54</v>
      </c>
      <c r="N24" s="21" t="s">
        <v>62</v>
      </c>
      <c r="O24" s="21" t="s">
        <v>62</v>
      </c>
      <c r="P24" s="21" t="s">
        <v>56</v>
      </c>
      <c r="Q24" s="21" t="s">
        <v>53</v>
      </c>
      <c r="R24" s="21" t="s">
        <v>53</v>
      </c>
      <c r="S24" s="21" t="s">
        <v>53</v>
      </c>
      <c r="T24" s="21" t="s">
        <v>53</v>
      </c>
      <c r="U24" s="21" t="s">
        <v>54</v>
      </c>
      <c r="V24" s="21" t="s">
        <v>54</v>
      </c>
      <c r="W24" s="21" t="s">
        <v>53</v>
      </c>
      <c r="X24" s="21" t="s">
        <v>56</v>
      </c>
      <c r="Y24" s="21" t="s">
        <v>56</v>
      </c>
      <c r="Z24" s="21" t="s">
        <v>54</v>
      </c>
      <c r="AA24" s="21" t="s">
        <v>54</v>
      </c>
      <c r="AB24" s="21" t="s">
        <v>62</v>
      </c>
      <c r="AC24" s="21" t="s">
        <v>62</v>
      </c>
      <c r="AD24" s="21" t="s">
        <v>56</v>
      </c>
      <c r="AE24" s="21" t="s">
        <v>53</v>
      </c>
      <c r="AF24" s="21"/>
      <c r="AG24" s="21">
        <f t="shared" si="12"/>
        <v>21</v>
      </c>
      <c r="AH24" s="21">
        <f t="shared" si="13"/>
        <v>1</v>
      </c>
      <c r="AI24" s="21">
        <f t="shared" si="14"/>
        <v>0</v>
      </c>
      <c r="AJ24" s="21">
        <f t="shared" si="15"/>
        <v>0</v>
      </c>
      <c r="AK24" s="21">
        <f t="shared" si="6"/>
        <v>0</v>
      </c>
      <c r="AL24" s="21">
        <f t="shared" si="7"/>
        <v>0</v>
      </c>
      <c r="AM24" s="21">
        <f t="shared" si="8"/>
        <v>0</v>
      </c>
      <c r="AN24" s="21">
        <f t="shared" si="9"/>
        <v>0</v>
      </c>
      <c r="AO24" s="21">
        <f t="shared" si="16"/>
        <v>5</v>
      </c>
      <c r="AP24" s="21">
        <f t="shared" si="11"/>
        <v>4</v>
      </c>
    </row>
    <row r="25" spans="1:42" ht="14.5" x14ac:dyDescent="0.35">
      <c r="A25" s="21" t="s">
        <v>75</v>
      </c>
      <c r="B25" s="21" t="s">
        <v>53</v>
      </c>
      <c r="C25" s="21" t="s">
        <v>19</v>
      </c>
      <c r="D25" s="21" t="s">
        <v>53</v>
      </c>
      <c r="E25" s="21" t="s">
        <v>53</v>
      </c>
      <c r="F25" s="21" t="s">
        <v>53</v>
      </c>
      <c r="G25" s="21" t="s">
        <v>54</v>
      </c>
      <c r="H25" s="21" t="s">
        <v>54</v>
      </c>
      <c r="I25" s="21" t="s">
        <v>53</v>
      </c>
      <c r="J25" s="21" t="s">
        <v>53</v>
      </c>
      <c r="K25" s="21" t="s">
        <v>53</v>
      </c>
      <c r="L25" s="21" t="s">
        <v>54</v>
      </c>
      <c r="M25" s="21" t="s">
        <v>54</v>
      </c>
      <c r="N25" s="21" t="s">
        <v>62</v>
      </c>
      <c r="O25" s="21" t="s">
        <v>62</v>
      </c>
      <c r="P25" s="21" t="s">
        <v>53</v>
      </c>
      <c r="Q25" s="21" t="s">
        <v>53</v>
      </c>
      <c r="R25" s="21" t="s">
        <v>53</v>
      </c>
      <c r="S25" s="21" t="s">
        <v>54</v>
      </c>
      <c r="T25" s="21" t="s">
        <v>54</v>
      </c>
      <c r="U25" s="21" t="s">
        <v>16</v>
      </c>
      <c r="V25" s="21" t="s">
        <v>62</v>
      </c>
      <c r="W25" s="21" t="s">
        <v>53</v>
      </c>
      <c r="X25" s="21" t="s">
        <v>53</v>
      </c>
      <c r="Y25" s="21" t="s">
        <v>53</v>
      </c>
      <c r="Z25" s="21" t="s">
        <v>54</v>
      </c>
      <c r="AA25" s="21" t="s">
        <v>54</v>
      </c>
      <c r="AB25" s="21" t="s">
        <v>62</v>
      </c>
      <c r="AC25" s="21" t="s">
        <v>62</v>
      </c>
      <c r="AD25" s="21" t="s">
        <v>53</v>
      </c>
      <c r="AE25" s="21" t="s">
        <v>19</v>
      </c>
      <c r="AF25" s="21"/>
      <c r="AG25" s="21">
        <f t="shared" si="12"/>
        <v>19</v>
      </c>
      <c r="AH25" s="21">
        <f t="shared" si="13"/>
        <v>1</v>
      </c>
      <c r="AI25" s="21">
        <f t="shared" si="14"/>
        <v>2</v>
      </c>
      <c r="AJ25" s="21">
        <f t="shared" si="15"/>
        <v>0</v>
      </c>
      <c r="AK25" s="21">
        <f t="shared" si="6"/>
        <v>0</v>
      </c>
      <c r="AL25" s="21">
        <f t="shared" si="7"/>
        <v>0</v>
      </c>
      <c r="AM25" s="21">
        <f t="shared" si="8"/>
        <v>0</v>
      </c>
      <c r="AN25" s="21">
        <f t="shared" si="9"/>
        <v>0</v>
      </c>
      <c r="AO25" s="21">
        <f t="shared" si="16"/>
        <v>0</v>
      </c>
      <c r="AP25" s="21">
        <f t="shared" si="11"/>
        <v>5</v>
      </c>
    </row>
    <row r="26" spans="1:42" ht="14.5" x14ac:dyDescent="0.35">
      <c r="A26" s="21" t="s">
        <v>76</v>
      </c>
      <c r="B26" s="21" t="s">
        <v>53</v>
      </c>
      <c r="C26" s="21" t="s">
        <v>53</v>
      </c>
      <c r="D26" s="21" t="s">
        <v>53</v>
      </c>
      <c r="E26" s="21" t="s">
        <v>53</v>
      </c>
      <c r="F26" s="21" t="s">
        <v>53</v>
      </c>
      <c r="G26" s="21" t="s">
        <v>54</v>
      </c>
      <c r="H26" s="21" t="s">
        <v>54</v>
      </c>
      <c r="I26" s="21" t="s">
        <v>53</v>
      </c>
      <c r="J26" s="21" t="s">
        <v>54</v>
      </c>
      <c r="K26" s="21" t="s">
        <v>54</v>
      </c>
      <c r="L26" s="21" t="s">
        <v>53</v>
      </c>
      <c r="M26" s="21" t="s">
        <v>53</v>
      </c>
      <c r="N26" s="21" t="s">
        <v>62</v>
      </c>
      <c r="O26" s="21" t="s">
        <v>62</v>
      </c>
      <c r="P26" s="21" t="s">
        <v>53</v>
      </c>
      <c r="Q26" s="21" t="s">
        <v>54</v>
      </c>
      <c r="R26" s="21" t="s">
        <v>54</v>
      </c>
      <c r="S26" s="21" t="s">
        <v>53</v>
      </c>
      <c r="T26" s="21" t="s">
        <v>53</v>
      </c>
      <c r="U26" s="21" t="s">
        <v>62</v>
      </c>
      <c r="V26" s="21" t="s">
        <v>62</v>
      </c>
      <c r="W26" s="21" t="s">
        <v>53</v>
      </c>
      <c r="X26" s="21" t="s">
        <v>54</v>
      </c>
      <c r="Y26" s="21" t="s">
        <v>54</v>
      </c>
      <c r="Z26" s="21" t="s">
        <v>53</v>
      </c>
      <c r="AA26" s="21" t="s">
        <v>53</v>
      </c>
      <c r="AB26" s="21" t="s">
        <v>62</v>
      </c>
      <c r="AC26" s="21" t="s">
        <v>62</v>
      </c>
      <c r="AD26" s="21" t="s">
        <v>53</v>
      </c>
      <c r="AE26" s="21" t="s">
        <v>54</v>
      </c>
      <c r="AF26" s="21"/>
      <c r="AG26" s="21">
        <f t="shared" si="12"/>
        <v>21</v>
      </c>
      <c r="AH26" s="21">
        <f t="shared" si="13"/>
        <v>0</v>
      </c>
      <c r="AI26" s="21">
        <f t="shared" si="14"/>
        <v>0</v>
      </c>
      <c r="AJ26" s="21">
        <f t="shared" si="15"/>
        <v>0</v>
      </c>
      <c r="AK26" s="21">
        <f t="shared" si="6"/>
        <v>0</v>
      </c>
      <c r="AL26" s="21">
        <f t="shared" si="7"/>
        <v>0</v>
      </c>
      <c r="AM26" s="21">
        <f t="shared" si="8"/>
        <v>0</v>
      </c>
      <c r="AN26" s="21">
        <f t="shared" si="9"/>
        <v>0</v>
      </c>
      <c r="AO26" s="21">
        <f t="shared" si="16"/>
        <v>0</v>
      </c>
      <c r="AP26" s="21">
        <f t="shared" si="11"/>
        <v>6</v>
      </c>
    </row>
    <row r="27" spans="1:42" ht="14.5" x14ac:dyDescent="0.35">
      <c r="A27" s="21" t="s">
        <v>77</v>
      </c>
      <c r="B27" s="21" t="s">
        <v>53</v>
      </c>
      <c r="C27" s="21" t="s">
        <v>53</v>
      </c>
      <c r="D27" s="21" t="s">
        <v>53</v>
      </c>
      <c r="E27" s="21" t="s">
        <v>53</v>
      </c>
      <c r="F27" s="21" t="s">
        <v>53</v>
      </c>
      <c r="G27" s="21" t="s">
        <v>54</v>
      </c>
      <c r="H27" s="21" t="s">
        <v>54</v>
      </c>
      <c r="I27" s="21" t="s">
        <v>53</v>
      </c>
      <c r="J27" s="21" t="s">
        <v>53</v>
      </c>
      <c r="K27" s="21" t="s">
        <v>53</v>
      </c>
      <c r="L27" s="21" t="s">
        <v>54</v>
      </c>
      <c r="M27" s="21" t="s">
        <v>54</v>
      </c>
      <c r="N27" s="21" t="s">
        <v>62</v>
      </c>
      <c r="O27" s="21" t="s">
        <v>62</v>
      </c>
      <c r="P27" s="21" t="s">
        <v>53</v>
      </c>
      <c r="Q27" s="21" t="s">
        <v>53</v>
      </c>
      <c r="R27" s="21" t="s">
        <v>53</v>
      </c>
      <c r="S27" s="21" t="s">
        <v>54</v>
      </c>
      <c r="T27" s="21" t="s">
        <v>54</v>
      </c>
      <c r="U27" s="21" t="s">
        <v>62</v>
      </c>
      <c r="V27" s="21" t="s">
        <v>62</v>
      </c>
      <c r="W27" s="21" t="s">
        <v>53</v>
      </c>
      <c r="X27" s="21" t="s">
        <v>53</v>
      </c>
      <c r="Y27" s="21" t="s">
        <v>53</v>
      </c>
      <c r="Z27" s="21" t="s">
        <v>54</v>
      </c>
      <c r="AA27" s="21" t="s">
        <v>54</v>
      </c>
      <c r="AB27" s="21" t="s">
        <v>62</v>
      </c>
      <c r="AC27" s="21" t="s">
        <v>62</v>
      </c>
      <c r="AD27" s="21" t="s">
        <v>53</v>
      </c>
      <c r="AE27" s="21" t="s">
        <v>16</v>
      </c>
      <c r="AF27" s="21"/>
      <c r="AG27" s="21">
        <f t="shared" si="12"/>
        <v>21</v>
      </c>
      <c r="AH27" s="21">
        <f t="shared" si="13"/>
        <v>1</v>
      </c>
      <c r="AI27" s="21">
        <f t="shared" si="14"/>
        <v>0</v>
      </c>
      <c r="AJ27" s="21">
        <f t="shared" si="15"/>
        <v>0</v>
      </c>
      <c r="AK27" s="21">
        <f t="shared" si="6"/>
        <v>0</v>
      </c>
      <c r="AL27" s="21">
        <f t="shared" si="7"/>
        <v>0</v>
      </c>
      <c r="AM27" s="21">
        <f t="shared" si="8"/>
        <v>0</v>
      </c>
      <c r="AN27" s="21">
        <f t="shared" si="9"/>
        <v>0</v>
      </c>
      <c r="AO27" s="21">
        <f t="shared" si="16"/>
        <v>0</v>
      </c>
      <c r="AP27" s="21">
        <f t="shared" si="11"/>
        <v>6</v>
      </c>
    </row>
    <row r="28" spans="1:42" ht="14.5" x14ac:dyDescent="0.35">
      <c r="A28" s="21" t="s">
        <v>78</v>
      </c>
      <c r="B28" s="21" t="s">
        <v>56</v>
      </c>
      <c r="C28" s="21" t="s">
        <v>53</v>
      </c>
      <c r="D28" s="21" t="s">
        <v>53</v>
      </c>
      <c r="E28" s="21" t="s">
        <v>53</v>
      </c>
      <c r="F28" s="21" t="s">
        <v>56</v>
      </c>
      <c r="G28" s="21" t="s">
        <v>54</v>
      </c>
      <c r="H28" s="21" t="s">
        <v>54</v>
      </c>
      <c r="I28" s="21" t="s">
        <v>53</v>
      </c>
      <c r="J28" s="21" t="s">
        <v>19</v>
      </c>
      <c r="K28" s="21" t="s">
        <v>53</v>
      </c>
      <c r="L28" s="21" t="s">
        <v>53</v>
      </c>
      <c r="M28" s="21" t="s">
        <v>53</v>
      </c>
      <c r="N28" s="21" t="s">
        <v>54</v>
      </c>
      <c r="O28" s="21" t="s">
        <v>54</v>
      </c>
      <c r="P28" s="21" t="s">
        <v>56</v>
      </c>
      <c r="Q28" s="21" t="s">
        <v>56</v>
      </c>
      <c r="R28" s="21" t="s">
        <v>53</v>
      </c>
      <c r="S28" s="21" t="s">
        <v>53</v>
      </c>
      <c r="T28" s="21" t="s">
        <v>53</v>
      </c>
      <c r="U28" s="21" t="s">
        <v>54</v>
      </c>
      <c r="V28" s="21" t="s">
        <v>54</v>
      </c>
      <c r="W28" s="21" t="s">
        <v>53</v>
      </c>
      <c r="X28" s="21" t="s">
        <v>56</v>
      </c>
      <c r="Y28" s="21" t="s">
        <v>56</v>
      </c>
      <c r="Z28" s="21" t="s">
        <v>53</v>
      </c>
      <c r="AA28" s="21" t="s">
        <v>56</v>
      </c>
      <c r="AB28" s="21" t="s">
        <v>54</v>
      </c>
      <c r="AC28" s="21" t="s">
        <v>54</v>
      </c>
      <c r="AD28" s="21" t="s">
        <v>19</v>
      </c>
      <c r="AE28" s="21" t="s">
        <v>53</v>
      </c>
      <c r="AF28" s="21"/>
      <c r="AG28" s="21">
        <f t="shared" si="12"/>
        <v>20</v>
      </c>
      <c r="AH28" s="21">
        <f t="shared" si="13"/>
        <v>0</v>
      </c>
      <c r="AI28" s="21">
        <f t="shared" si="14"/>
        <v>2</v>
      </c>
      <c r="AJ28" s="21">
        <f t="shared" si="15"/>
        <v>0</v>
      </c>
      <c r="AK28" s="21">
        <f t="shared" si="6"/>
        <v>0</v>
      </c>
      <c r="AL28" s="21">
        <f t="shared" si="7"/>
        <v>0</v>
      </c>
      <c r="AM28" s="21">
        <f t="shared" si="8"/>
        <v>0</v>
      </c>
      <c r="AN28" s="21">
        <f t="shared" si="9"/>
        <v>0</v>
      </c>
      <c r="AO28" s="21">
        <f t="shared" si="16"/>
        <v>7</v>
      </c>
      <c r="AP28" s="21">
        <f t="shared" si="11"/>
        <v>0</v>
      </c>
    </row>
    <row r="29" spans="1:42" ht="14.5" hidden="1" x14ac:dyDescent="0.35">
      <c r="A29" s="21" t="s">
        <v>79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>
        <f t="shared" si="12"/>
        <v>0</v>
      </c>
      <c r="AH29" s="21">
        <f t="shared" si="13"/>
        <v>0</v>
      </c>
      <c r="AI29" s="21">
        <f t="shared" si="14"/>
        <v>0</v>
      </c>
      <c r="AJ29" s="21">
        <f t="shared" si="15"/>
        <v>0</v>
      </c>
      <c r="AK29" s="21">
        <f t="shared" si="6"/>
        <v>0</v>
      </c>
      <c r="AL29" s="21">
        <f t="shared" si="7"/>
        <v>0</v>
      </c>
      <c r="AM29" s="21">
        <f t="shared" si="8"/>
        <v>0</v>
      </c>
      <c r="AN29" s="21">
        <f t="shared" si="9"/>
        <v>0</v>
      </c>
      <c r="AO29" s="21">
        <f t="shared" si="16"/>
        <v>0</v>
      </c>
      <c r="AP29" s="21">
        <f t="shared" si="11"/>
        <v>0</v>
      </c>
    </row>
    <row r="30" spans="1:42" ht="14.5" x14ac:dyDescent="0.35">
      <c r="A30" s="21" t="s">
        <v>80</v>
      </c>
      <c r="B30" s="21" t="s">
        <v>56</v>
      </c>
      <c r="C30" s="21" t="s">
        <v>56</v>
      </c>
      <c r="D30" s="21" t="s">
        <v>19</v>
      </c>
      <c r="E30" s="21" t="s">
        <v>56</v>
      </c>
      <c r="F30" s="21" t="s">
        <v>56</v>
      </c>
      <c r="G30" s="21" t="s">
        <v>54</v>
      </c>
      <c r="H30" s="21" t="s">
        <v>54</v>
      </c>
      <c r="I30" s="21" t="s">
        <v>56</v>
      </c>
      <c r="J30" s="21" t="s">
        <v>56</v>
      </c>
      <c r="K30" s="21" t="s">
        <v>53</v>
      </c>
      <c r="L30" s="21" t="s">
        <v>53</v>
      </c>
      <c r="M30" s="21" t="s">
        <v>53</v>
      </c>
      <c r="N30" s="21" t="s">
        <v>54</v>
      </c>
      <c r="O30" s="21" t="s">
        <v>54</v>
      </c>
      <c r="P30" s="21" t="s">
        <v>53</v>
      </c>
      <c r="Q30" s="21" t="s">
        <v>19</v>
      </c>
      <c r="R30" s="21" t="s">
        <v>53</v>
      </c>
      <c r="S30" s="21" t="s">
        <v>56</v>
      </c>
      <c r="T30" s="21" t="s">
        <v>56</v>
      </c>
      <c r="U30" s="21" t="s">
        <v>54</v>
      </c>
      <c r="V30" s="21" t="s">
        <v>54</v>
      </c>
      <c r="W30" s="21" t="s">
        <v>53</v>
      </c>
      <c r="X30" s="21" t="s">
        <v>56</v>
      </c>
      <c r="Y30" s="21" t="s">
        <v>56</v>
      </c>
      <c r="Z30" s="21" t="s">
        <v>56</v>
      </c>
      <c r="AA30" s="21" t="s">
        <v>56</v>
      </c>
      <c r="AB30" s="21" t="s">
        <v>54</v>
      </c>
      <c r="AC30" s="21" t="s">
        <v>54</v>
      </c>
      <c r="AD30" s="21" t="s">
        <v>56</v>
      </c>
      <c r="AE30" s="21" t="s">
        <v>62</v>
      </c>
      <c r="AF30" s="21"/>
      <c r="AG30" s="21">
        <f t="shared" si="12"/>
        <v>20</v>
      </c>
      <c r="AH30" s="21">
        <f t="shared" si="13"/>
        <v>0</v>
      </c>
      <c r="AI30" s="21">
        <f t="shared" si="14"/>
        <v>2</v>
      </c>
      <c r="AJ30" s="21">
        <f t="shared" si="15"/>
        <v>0</v>
      </c>
      <c r="AK30" s="21">
        <f t="shared" si="6"/>
        <v>0</v>
      </c>
      <c r="AL30" s="21">
        <f t="shared" si="7"/>
        <v>0</v>
      </c>
      <c r="AM30" s="21">
        <f t="shared" si="8"/>
        <v>0</v>
      </c>
      <c r="AN30" s="21">
        <f t="shared" si="9"/>
        <v>0</v>
      </c>
      <c r="AO30" s="21">
        <f t="shared" si="16"/>
        <v>13</v>
      </c>
      <c r="AP30" s="21">
        <f t="shared" si="11"/>
        <v>1</v>
      </c>
    </row>
    <row r="31" spans="1:42" ht="14.5" hidden="1" x14ac:dyDescent="0.35">
      <c r="A31" s="22" t="s">
        <v>81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>
        <f t="shared" si="12"/>
        <v>0</v>
      </c>
      <c r="AH31" s="21">
        <f t="shared" si="13"/>
        <v>0</v>
      </c>
      <c r="AI31" s="21">
        <f t="shared" si="14"/>
        <v>0</v>
      </c>
      <c r="AJ31" s="21">
        <f t="shared" si="15"/>
        <v>0</v>
      </c>
      <c r="AK31" s="21">
        <f t="shared" si="6"/>
        <v>0</v>
      </c>
      <c r="AL31" s="21">
        <f t="shared" si="7"/>
        <v>0</v>
      </c>
      <c r="AM31" s="21">
        <f t="shared" si="8"/>
        <v>0</v>
      </c>
      <c r="AN31" s="21">
        <f t="shared" si="9"/>
        <v>0</v>
      </c>
      <c r="AO31" s="21">
        <f t="shared" si="16"/>
        <v>0</v>
      </c>
      <c r="AP31" s="21">
        <f t="shared" si="11"/>
        <v>0</v>
      </c>
    </row>
    <row r="32" spans="1:42" ht="14.5" x14ac:dyDescent="0.35">
      <c r="A32" s="21" t="s">
        <v>82</v>
      </c>
      <c r="B32" s="21" t="s">
        <v>53</v>
      </c>
      <c r="C32" s="21" t="s">
        <v>53</v>
      </c>
      <c r="D32" s="21" t="s">
        <v>53</v>
      </c>
      <c r="E32" s="21" t="s">
        <v>53</v>
      </c>
      <c r="F32" s="21" t="s">
        <v>56</v>
      </c>
      <c r="G32" s="21" t="s">
        <v>54</v>
      </c>
      <c r="H32" s="21" t="s">
        <v>54</v>
      </c>
      <c r="I32" s="21" t="s">
        <v>53</v>
      </c>
      <c r="J32" s="21" t="s">
        <v>53</v>
      </c>
      <c r="K32" s="21" t="s">
        <v>56</v>
      </c>
      <c r="L32" s="21" t="s">
        <v>56</v>
      </c>
      <c r="M32" s="21" t="s">
        <v>53</v>
      </c>
      <c r="N32" s="21" t="s">
        <v>54</v>
      </c>
      <c r="O32" s="21" t="s">
        <v>54</v>
      </c>
      <c r="P32" s="21" t="s">
        <v>56</v>
      </c>
      <c r="Q32" s="21" t="s">
        <v>53</v>
      </c>
      <c r="R32" s="21" t="s">
        <v>53</v>
      </c>
      <c r="S32" s="21" t="s">
        <v>53</v>
      </c>
      <c r="T32" s="21" t="s">
        <v>53</v>
      </c>
      <c r="U32" s="21" t="s">
        <v>54</v>
      </c>
      <c r="V32" s="21" t="s">
        <v>54</v>
      </c>
      <c r="W32" s="21" t="s">
        <v>56</v>
      </c>
      <c r="X32" s="21" t="s">
        <v>56</v>
      </c>
      <c r="Y32" s="21" t="s">
        <v>53</v>
      </c>
      <c r="Z32" s="21" t="s">
        <v>56</v>
      </c>
      <c r="AA32" s="21" t="s">
        <v>53</v>
      </c>
      <c r="AB32" s="21" t="s">
        <v>54</v>
      </c>
      <c r="AC32" s="21" t="s">
        <v>54</v>
      </c>
      <c r="AD32" s="21" t="s">
        <v>53</v>
      </c>
      <c r="AE32" s="21" t="s">
        <v>19</v>
      </c>
      <c r="AF32" s="21"/>
      <c r="AG32" s="21">
        <f t="shared" si="12"/>
        <v>21</v>
      </c>
      <c r="AH32" s="21">
        <f t="shared" si="13"/>
        <v>0</v>
      </c>
      <c r="AI32" s="21">
        <f t="shared" si="14"/>
        <v>1</v>
      </c>
      <c r="AJ32" s="21">
        <f t="shared" si="15"/>
        <v>0</v>
      </c>
      <c r="AK32" s="21">
        <f t="shared" si="6"/>
        <v>0</v>
      </c>
      <c r="AL32" s="21">
        <f t="shared" si="7"/>
        <v>0</v>
      </c>
      <c r="AM32" s="21">
        <f t="shared" si="8"/>
        <v>0</v>
      </c>
      <c r="AN32" s="21">
        <f t="shared" si="9"/>
        <v>0</v>
      </c>
      <c r="AO32" s="21">
        <f t="shared" si="16"/>
        <v>7</v>
      </c>
      <c r="AP32" s="21">
        <f t="shared" si="11"/>
        <v>0</v>
      </c>
    </row>
    <row r="33" spans="1:42" ht="14.5" x14ac:dyDescent="0.35">
      <c r="A33" s="21" t="s">
        <v>83</v>
      </c>
      <c r="B33" s="21" t="s">
        <v>19</v>
      </c>
      <c r="C33" s="21" t="s">
        <v>53</v>
      </c>
      <c r="D33" s="21" t="s">
        <v>53</v>
      </c>
      <c r="E33" s="21" t="s">
        <v>54</v>
      </c>
      <c r="F33" s="21" t="s">
        <v>54</v>
      </c>
      <c r="G33" s="21" t="s">
        <v>62</v>
      </c>
      <c r="H33" s="21" t="s">
        <v>62</v>
      </c>
      <c r="I33" s="21" t="s">
        <v>53</v>
      </c>
      <c r="J33" s="21" t="s">
        <v>53</v>
      </c>
      <c r="K33" s="21" t="s">
        <v>53</v>
      </c>
      <c r="L33" s="21" t="s">
        <v>53</v>
      </c>
      <c r="M33" s="21" t="s">
        <v>54</v>
      </c>
      <c r="N33" s="21" t="s">
        <v>54</v>
      </c>
      <c r="O33" s="21" t="s">
        <v>62</v>
      </c>
      <c r="P33" s="21" t="s">
        <v>53</v>
      </c>
      <c r="Q33" s="21" t="s">
        <v>53</v>
      </c>
      <c r="R33" s="21" t="s">
        <v>53</v>
      </c>
      <c r="S33" s="21" t="s">
        <v>53</v>
      </c>
      <c r="T33" s="21" t="s">
        <v>53</v>
      </c>
      <c r="U33" s="21" t="s">
        <v>54</v>
      </c>
      <c r="V33" s="21" t="s">
        <v>54</v>
      </c>
      <c r="W33" s="21" t="s">
        <v>16</v>
      </c>
      <c r="X33" s="21" t="s">
        <v>16</v>
      </c>
      <c r="Y33" s="21" t="s">
        <v>16</v>
      </c>
      <c r="Z33" s="21" t="s">
        <v>16</v>
      </c>
      <c r="AA33" s="21" t="s">
        <v>16</v>
      </c>
      <c r="AB33" s="21" t="s">
        <v>54</v>
      </c>
      <c r="AC33" s="21" t="s">
        <v>54</v>
      </c>
      <c r="AD33" s="21" t="s">
        <v>53</v>
      </c>
      <c r="AE33" s="21" t="s">
        <v>53</v>
      </c>
      <c r="AF33" s="21"/>
      <c r="AG33" s="21">
        <f t="shared" si="12"/>
        <v>16</v>
      </c>
      <c r="AH33" s="21">
        <f t="shared" si="13"/>
        <v>5</v>
      </c>
      <c r="AI33" s="21">
        <f t="shared" si="14"/>
        <v>1</v>
      </c>
      <c r="AJ33" s="21">
        <f t="shared" si="15"/>
        <v>0</v>
      </c>
      <c r="AK33" s="21">
        <f t="shared" si="6"/>
        <v>0</v>
      </c>
      <c r="AL33" s="21">
        <f t="shared" si="7"/>
        <v>0</v>
      </c>
      <c r="AM33" s="21">
        <f t="shared" si="8"/>
        <v>0</v>
      </c>
      <c r="AN33" s="21">
        <f t="shared" si="9"/>
        <v>0</v>
      </c>
      <c r="AO33" s="21">
        <f t="shared" si="16"/>
        <v>0</v>
      </c>
      <c r="AP33" s="21">
        <f t="shared" si="11"/>
        <v>3</v>
      </c>
    </row>
    <row r="34" spans="1:42" ht="14.5" x14ac:dyDescent="0.35">
      <c r="A34" s="21" t="s">
        <v>84</v>
      </c>
      <c r="B34" s="21" t="s">
        <v>53</v>
      </c>
      <c r="C34" s="21" t="s">
        <v>19</v>
      </c>
      <c r="D34" s="21" t="s">
        <v>19</v>
      </c>
      <c r="E34" s="21" t="s">
        <v>53</v>
      </c>
      <c r="F34" s="21" t="s">
        <v>56</v>
      </c>
      <c r="G34" s="21" t="s">
        <v>54</v>
      </c>
      <c r="H34" s="21" t="s">
        <v>54</v>
      </c>
      <c r="I34" s="21" t="s">
        <v>54</v>
      </c>
      <c r="J34" s="21" t="s">
        <v>54</v>
      </c>
      <c r="K34" s="21" t="s">
        <v>16</v>
      </c>
      <c r="L34" s="21" t="s">
        <v>53</v>
      </c>
      <c r="M34" s="21" t="s">
        <v>53</v>
      </c>
      <c r="N34" s="21" t="s">
        <v>62</v>
      </c>
      <c r="O34" s="21" t="s">
        <v>62</v>
      </c>
      <c r="P34" s="21" t="s">
        <v>54</v>
      </c>
      <c r="Q34" s="21" t="s">
        <v>54</v>
      </c>
      <c r="R34" s="21" t="s">
        <v>53</v>
      </c>
      <c r="S34" s="21" t="s">
        <v>53</v>
      </c>
      <c r="T34" s="21" t="s">
        <v>53</v>
      </c>
      <c r="U34" s="21" t="s">
        <v>62</v>
      </c>
      <c r="V34" s="21" t="s">
        <v>62</v>
      </c>
      <c r="W34" s="21" t="s">
        <v>54</v>
      </c>
      <c r="X34" s="21" t="s">
        <v>54</v>
      </c>
      <c r="Y34" s="21" t="s">
        <v>56</v>
      </c>
      <c r="Z34" s="21" t="s">
        <v>53</v>
      </c>
      <c r="AA34" s="21" t="s">
        <v>53</v>
      </c>
      <c r="AB34" s="21" t="s">
        <v>62</v>
      </c>
      <c r="AC34" s="21" t="s">
        <v>62</v>
      </c>
      <c r="AD34" s="21" t="s">
        <v>54</v>
      </c>
      <c r="AE34" s="21" t="s">
        <v>54</v>
      </c>
      <c r="AF34" s="21"/>
      <c r="AG34" s="21">
        <f t="shared" si="12"/>
        <v>17</v>
      </c>
      <c r="AH34" s="21">
        <f t="shared" si="13"/>
        <v>1</v>
      </c>
      <c r="AI34" s="21">
        <f t="shared" si="14"/>
        <v>2</v>
      </c>
      <c r="AJ34" s="21">
        <f t="shared" si="15"/>
        <v>0</v>
      </c>
      <c r="AK34" s="21">
        <f t="shared" si="6"/>
        <v>0</v>
      </c>
      <c r="AL34" s="21">
        <f t="shared" si="7"/>
        <v>0</v>
      </c>
      <c r="AM34" s="21">
        <f t="shared" si="8"/>
        <v>0</v>
      </c>
      <c r="AN34" s="21">
        <f t="shared" si="9"/>
        <v>0</v>
      </c>
      <c r="AO34" s="21">
        <f t="shared" si="16"/>
        <v>2</v>
      </c>
      <c r="AP34" s="21">
        <f t="shared" si="11"/>
        <v>6</v>
      </c>
    </row>
    <row r="35" spans="1:42" ht="14.5" hidden="1" x14ac:dyDescent="0.35">
      <c r="A35" s="22" t="s">
        <v>85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>
        <f t="shared" si="12"/>
        <v>0</v>
      </c>
      <c r="AH35" s="21">
        <f t="shared" si="13"/>
        <v>0</v>
      </c>
      <c r="AI35" s="21">
        <f t="shared" si="14"/>
        <v>0</v>
      </c>
      <c r="AJ35" s="21">
        <f t="shared" si="15"/>
        <v>0</v>
      </c>
      <c r="AK35" s="21">
        <f t="shared" si="6"/>
        <v>0</v>
      </c>
      <c r="AL35" s="21">
        <f t="shared" si="7"/>
        <v>0</v>
      </c>
      <c r="AM35" s="21">
        <f t="shared" si="8"/>
        <v>0</v>
      </c>
      <c r="AN35" s="21">
        <f t="shared" si="9"/>
        <v>0</v>
      </c>
      <c r="AO35" s="21">
        <f t="shared" si="16"/>
        <v>0</v>
      </c>
      <c r="AP35" s="21">
        <f t="shared" si="11"/>
        <v>0</v>
      </c>
    </row>
    <row r="36" spans="1:42" ht="14.5" hidden="1" x14ac:dyDescent="0.35">
      <c r="A36" s="22" t="s">
        <v>86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>
        <f t="shared" si="12"/>
        <v>0</v>
      </c>
      <c r="AH36" s="21">
        <f t="shared" si="13"/>
        <v>0</v>
      </c>
      <c r="AI36" s="21">
        <f t="shared" si="14"/>
        <v>0</v>
      </c>
      <c r="AJ36" s="21">
        <f t="shared" si="15"/>
        <v>0</v>
      </c>
      <c r="AK36" s="21">
        <f t="shared" si="6"/>
        <v>0</v>
      </c>
      <c r="AL36" s="21">
        <f t="shared" si="7"/>
        <v>0</v>
      </c>
      <c r="AM36" s="21">
        <f t="shared" si="8"/>
        <v>0</v>
      </c>
      <c r="AN36" s="21">
        <f t="shared" si="9"/>
        <v>0</v>
      </c>
      <c r="AO36" s="21">
        <f t="shared" si="16"/>
        <v>0</v>
      </c>
      <c r="AP36" s="21">
        <f t="shared" si="11"/>
        <v>0</v>
      </c>
    </row>
    <row r="37" spans="1:42" ht="14.5" x14ac:dyDescent="0.35">
      <c r="A37" s="21" t="s">
        <v>87</v>
      </c>
      <c r="B37" s="21" t="s">
        <v>53</v>
      </c>
      <c r="C37" s="21" t="s">
        <v>16</v>
      </c>
      <c r="D37" s="21" t="s">
        <v>56</v>
      </c>
      <c r="E37" s="21" t="s">
        <v>56</v>
      </c>
      <c r="F37" s="21" t="s">
        <v>56</v>
      </c>
      <c r="G37" s="21" t="s">
        <v>54</v>
      </c>
      <c r="H37" s="21" t="s">
        <v>54</v>
      </c>
      <c r="I37" s="21" t="s">
        <v>56</v>
      </c>
      <c r="J37" s="21" t="s">
        <v>62</v>
      </c>
      <c r="K37" s="21" t="s">
        <v>62</v>
      </c>
      <c r="L37" s="21" t="s">
        <v>53</v>
      </c>
      <c r="M37" s="21" t="s">
        <v>53</v>
      </c>
      <c r="N37" s="21" t="s">
        <v>54</v>
      </c>
      <c r="O37" s="21" t="s">
        <v>54</v>
      </c>
      <c r="P37" s="21" t="s">
        <v>53</v>
      </c>
      <c r="Q37" s="21" t="s">
        <v>19</v>
      </c>
      <c r="R37" s="21" t="s">
        <v>53</v>
      </c>
      <c r="S37" s="21" t="s">
        <v>56</v>
      </c>
      <c r="T37" s="21" t="s">
        <v>56</v>
      </c>
      <c r="U37" s="21" t="s">
        <v>54</v>
      </c>
      <c r="V37" s="21" t="s">
        <v>54</v>
      </c>
      <c r="W37" s="21" t="s">
        <v>53</v>
      </c>
      <c r="X37" s="21" t="s">
        <v>56</v>
      </c>
      <c r="Y37" s="21" t="s">
        <v>56</v>
      </c>
      <c r="Z37" s="21" t="s">
        <v>62</v>
      </c>
      <c r="AA37" s="21" t="s">
        <v>62</v>
      </c>
      <c r="AB37" s="21" t="s">
        <v>54</v>
      </c>
      <c r="AC37" s="21" t="s">
        <v>54</v>
      </c>
      <c r="AD37" s="21" t="s">
        <v>53</v>
      </c>
      <c r="AE37" s="21" t="s">
        <v>62</v>
      </c>
      <c r="AF37" s="21"/>
      <c r="AG37" s="21">
        <f t="shared" si="12"/>
        <v>20</v>
      </c>
      <c r="AH37" s="21">
        <f t="shared" si="13"/>
        <v>1</v>
      </c>
      <c r="AI37" s="21">
        <f t="shared" si="14"/>
        <v>1</v>
      </c>
      <c r="AJ37" s="21">
        <f t="shared" si="15"/>
        <v>0</v>
      </c>
      <c r="AK37" s="21">
        <f t="shared" si="6"/>
        <v>0</v>
      </c>
      <c r="AL37" s="21">
        <f t="shared" si="7"/>
        <v>0</v>
      </c>
      <c r="AM37" s="21">
        <f t="shared" si="8"/>
        <v>0</v>
      </c>
      <c r="AN37" s="21">
        <f t="shared" si="9"/>
        <v>0</v>
      </c>
      <c r="AO37" s="21">
        <f t="shared" si="16"/>
        <v>8</v>
      </c>
      <c r="AP37" s="21">
        <f t="shared" si="11"/>
        <v>5</v>
      </c>
    </row>
    <row r="38" spans="1:42" ht="14.5" x14ac:dyDescent="0.35">
      <c r="A38" s="21" t="s">
        <v>88</v>
      </c>
      <c r="B38" s="21" t="s">
        <v>56</v>
      </c>
      <c r="C38" s="21" t="s">
        <v>53</v>
      </c>
      <c r="D38" s="21" t="s">
        <v>56</v>
      </c>
      <c r="E38" s="21" t="s">
        <v>53</v>
      </c>
      <c r="F38" s="21" t="s">
        <v>53</v>
      </c>
      <c r="G38" s="21" t="s">
        <v>54</v>
      </c>
      <c r="H38" s="21" t="s">
        <v>54</v>
      </c>
      <c r="I38" s="21" t="s">
        <v>53</v>
      </c>
      <c r="J38" s="21" t="s">
        <v>53</v>
      </c>
      <c r="K38" s="21" t="s">
        <v>53</v>
      </c>
      <c r="L38" s="21" t="s">
        <v>53</v>
      </c>
      <c r="M38" s="21" t="s">
        <v>53</v>
      </c>
      <c r="N38" s="21" t="s">
        <v>54</v>
      </c>
      <c r="O38" s="21" t="s">
        <v>54</v>
      </c>
      <c r="P38" s="21" t="s">
        <v>56</v>
      </c>
      <c r="Q38" s="21" t="s">
        <v>53</v>
      </c>
      <c r="R38" s="21" t="s">
        <v>56</v>
      </c>
      <c r="S38" s="21" t="s">
        <v>56</v>
      </c>
      <c r="T38" s="21" t="s">
        <v>56</v>
      </c>
      <c r="U38" s="21" t="s">
        <v>54</v>
      </c>
      <c r="V38" s="21" t="s">
        <v>54</v>
      </c>
      <c r="W38" s="21" t="s">
        <v>56</v>
      </c>
      <c r="X38" s="21" t="s">
        <v>56</v>
      </c>
      <c r="Y38" s="21" t="s">
        <v>56</v>
      </c>
      <c r="Z38" s="21" t="s">
        <v>56</v>
      </c>
      <c r="AA38" s="21"/>
      <c r="AB38" s="21" t="s">
        <v>54</v>
      </c>
      <c r="AC38" s="21" t="s">
        <v>54</v>
      </c>
      <c r="AD38" s="21" t="s">
        <v>56</v>
      </c>
      <c r="AE38" s="21" t="s">
        <v>62</v>
      </c>
      <c r="AF38" s="21"/>
      <c r="AG38" s="21">
        <f t="shared" si="12"/>
        <v>21</v>
      </c>
      <c r="AH38" s="21">
        <f t="shared" si="13"/>
        <v>0</v>
      </c>
      <c r="AI38" s="21">
        <f t="shared" si="14"/>
        <v>0</v>
      </c>
      <c r="AJ38" s="21">
        <f t="shared" si="15"/>
        <v>0</v>
      </c>
      <c r="AK38" s="21">
        <f t="shared" si="6"/>
        <v>0</v>
      </c>
      <c r="AL38" s="21">
        <f t="shared" si="7"/>
        <v>0</v>
      </c>
      <c r="AM38" s="21">
        <f t="shared" si="8"/>
        <v>0</v>
      </c>
      <c r="AN38" s="21">
        <f t="shared" si="9"/>
        <v>0</v>
      </c>
      <c r="AO38" s="21">
        <f t="shared" si="16"/>
        <v>11</v>
      </c>
      <c r="AP38" s="21">
        <f t="shared" si="11"/>
        <v>1</v>
      </c>
    </row>
    <row r="39" spans="1:42" ht="14.5" x14ac:dyDescent="0.35">
      <c r="A39" s="21" t="s">
        <v>89</v>
      </c>
      <c r="B39" s="21" t="s">
        <v>53</v>
      </c>
      <c r="C39" s="21" t="s">
        <v>53</v>
      </c>
      <c r="D39" s="21" t="s">
        <v>53</v>
      </c>
      <c r="E39" s="21" t="s">
        <v>53</v>
      </c>
      <c r="F39" s="21" t="s">
        <v>16</v>
      </c>
      <c r="G39" s="21" t="s">
        <v>54</v>
      </c>
      <c r="H39" s="21" t="s">
        <v>54</v>
      </c>
      <c r="I39" s="21" t="s">
        <v>19</v>
      </c>
      <c r="J39" s="21" t="s">
        <v>53</v>
      </c>
      <c r="K39" s="21" t="s">
        <v>53</v>
      </c>
      <c r="L39" s="21" t="s">
        <v>53</v>
      </c>
      <c r="M39" s="21" t="s">
        <v>53</v>
      </c>
      <c r="N39" s="21" t="s">
        <v>54</v>
      </c>
      <c r="O39" s="21" t="s">
        <v>54</v>
      </c>
      <c r="P39" s="21" t="s">
        <v>53</v>
      </c>
      <c r="Q39" s="21" t="s">
        <v>53</v>
      </c>
      <c r="R39" s="21" t="s">
        <v>56</v>
      </c>
      <c r="S39" s="21" t="s">
        <v>56</v>
      </c>
      <c r="T39" s="21" t="s">
        <v>19</v>
      </c>
      <c r="U39" s="21" t="s">
        <v>54</v>
      </c>
      <c r="V39" s="21" t="s">
        <v>54</v>
      </c>
      <c r="W39" s="21" t="s">
        <v>56</v>
      </c>
      <c r="X39" s="21" t="s">
        <v>53</v>
      </c>
      <c r="Y39" s="21" t="s">
        <v>53</v>
      </c>
      <c r="Z39" s="21" t="s">
        <v>56</v>
      </c>
      <c r="AA39" s="21" t="s">
        <v>53</v>
      </c>
      <c r="AB39" s="21" t="s">
        <v>54</v>
      </c>
      <c r="AC39" s="21" t="s">
        <v>54</v>
      </c>
      <c r="AD39" s="21" t="s">
        <v>53</v>
      </c>
      <c r="AE39" s="21" t="s">
        <v>56</v>
      </c>
      <c r="AF39" s="21"/>
      <c r="AG39" s="21">
        <f t="shared" si="12"/>
        <v>19</v>
      </c>
      <c r="AH39" s="21">
        <f t="shared" si="13"/>
        <v>1</v>
      </c>
      <c r="AI39" s="21">
        <f t="shared" si="14"/>
        <v>2</v>
      </c>
      <c r="AJ39" s="21">
        <f t="shared" si="15"/>
        <v>0</v>
      </c>
      <c r="AK39" s="21">
        <f t="shared" si="6"/>
        <v>0</v>
      </c>
      <c r="AL39" s="21">
        <f t="shared" si="7"/>
        <v>0</v>
      </c>
      <c r="AM39" s="21">
        <f t="shared" si="8"/>
        <v>0</v>
      </c>
      <c r="AN39" s="21">
        <f t="shared" si="9"/>
        <v>0</v>
      </c>
      <c r="AO39" s="21">
        <f t="shared" si="16"/>
        <v>5</v>
      </c>
      <c r="AP39" s="21">
        <f t="shared" si="11"/>
        <v>0</v>
      </c>
    </row>
    <row r="40" spans="1:42" ht="14.5" x14ac:dyDescent="0.35">
      <c r="A40" s="21" t="s">
        <v>90</v>
      </c>
      <c r="B40" s="21" t="s">
        <v>56</v>
      </c>
      <c r="C40" s="21" t="s">
        <v>53</v>
      </c>
      <c r="D40" s="21" t="s">
        <v>56</v>
      </c>
      <c r="E40" s="21" t="s">
        <v>16</v>
      </c>
      <c r="F40" s="21" t="s">
        <v>53</v>
      </c>
      <c r="G40" s="21" t="s">
        <v>54</v>
      </c>
      <c r="H40" s="21" t="s">
        <v>54</v>
      </c>
      <c r="I40" s="21" t="s">
        <v>56</v>
      </c>
      <c r="J40" s="21" t="s">
        <v>53</v>
      </c>
      <c r="K40" s="21" t="s">
        <v>56</v>
      </c>
      <c r="L40" s="21" t="s">
        <v>56</v>
      </c>
      <c r="M40" s="21" t="s">
        <v>62</v>
      </c>
      <c r="N40" s="21" t="s">
        <v>54</v>
      </c>
      <c r="O40" s="21" t="s">
        <v>54</v>
      </c>
      <c r="P40" s="21" t="s">
        <v>53</v>
      </c>
      <c r="Q40" s="21" t="s">
        <v>53</v>
      </c>
      <c r="R40" s="21" t="s">
        <v>53</v>
      </c>
      <c r="S40" s="21" t="s">
        <v>53</v>
      </c>
      <c r="T40" s="21" t="s">
        <v>53</v>
      </c>
      <c r="U40" s="21" t="s">
        <v>54</v>
      </c>
      <c r="V40" s="21" t="s">
        <v>54</v>
      </c>
      <c r="W40" s="21" t="s">
        <v>19</v>
      </c>
      <c r="X40" s="21" t="s">
        <v>53</v>
      </c>
      <c r="Y40" s="21" t="s">
        <v>56</v>
      </c>
      <c r="Z40" s="21" t="s">
        <v>56</v>
      </c>
      <c r="AA40" s="21" t="s">
        <v>62</v>
      </c>
      <c r="AB40" s="21" t="s">
        <v>54</v>
      </c>
      <c r="AC40" s="21" t="s">
        <v>54</v>
      </c>
      <c r="AD40" s="21" t="s">
        <v>62</v>
      </c>
      <c r="AE40" s="21" t="s">
        <v>62</v>
      </c>
      <c r="AF40" s="21"/>
      <c r="AG40" s="21">
        <f t="shared" si="12"/>
        <v>20</v>
      </c>
      <c r="AH40" s="21">
        <f t="shared" si="13"/>
        <v>1</v>
      </c>
      <c r="AI40" s="21">
        <f t="shared" si="14"/>
        <v>1</v>
      </c>
      <c r="AJ40" s="21">
        <f t="shared" si="15"/>
        <v>0</v>
      </c>
      <c r="AK40" s="21">
        <f t="shared" si="6"/>
        <v>0</v>
      </c>
      <c r="AL40" s="21">
        <f t="shared" si="7"/>
        <v>0</v>
      </c>
      <c r="AM40" s="21">
        <f t="shared" si="8"/>
        <v>0</v>
      </c>
      <c r="AN40" s="21">
        <f t="shared" si="9"/>
        <v>0</v>
      </c>
      <c r="AO40" s="21">
        <f t="shared" si="16"/>
        <v>7</v>
      </c>
      <c r="AP40" s="21">
        <f t="shared" si="11"/>
        <v>4</v>
      </c>
    </row>
    <row r="41" spans="1:42" ht="14.5" x14ac:dyDescent="0.35">
      <c r="A41" s="21" t="s">
        <v>91</v>
      </c>
      <c r="B41" s="21" t="s">
        <v>56</v>
      </c>
      <c r="C41" s="21" t="s">
        <v>53</v>
      </c>
      <c r="D41" s="21" t="s">
        <v>53</v>
      </c>
      <c r="E41" s="21" t="s">
        <v>53</v>
      </c>
      <c r="F41" s="21" t="s">
        <v>53</v>
      </c>
      <c r="G41" s="21" t="s">
        <v>54</v>
      </c>
      <c r="H41" s="21" t="s">
        <v>54</v>
      </c>
      <c r="I41" s="21" t="s">
        <v>53</v>
      </c>
      <c r="J41" s="21" t="s">
        <v>53</v>
      </c>
      <c r="K41" s="21" t="s">
        <v>53</v>
      </c>
      <c r="L41" s="21" t="s">
        <v>53</v>
      </c>
      <c r="M41" s="21" t="s">
        <v>53</v>
      </c>
      <c r="N41" s="21" t="s">
        <v>54</v>
      </c>
      <c r="O41" s="21" t="s">
        <v>54</v>
      </c>
      <c r="P41" s="21" t="s">
        <v>53</v>
      </c>
      <c r="Q41" s="21" t="s">
        <v>53</v>
      </c>
      <c r="R41" s="21" t="s">
        <v>53</v>
      </c>
      <c r="S41" s="21" t="s">
        <v>53</v>
      </c>
      <c r="T41" s="21" t="s">
        <v>53</v>
      </c>
      <c r="U41" s="21" t="s">
        <v>54</v>
      </c>
      <c r="V41" s="21" t="s">
        <v>54</v>
      </c>
      <c r="W41" s="21" t="s">
        <v>53</v>
      </c>
      <c r="X41" s="21" t="s">
        <v>53</v>
      </c>
      <c r="Y41" s="21" t="s">
        <v>53</v>
      </c>
      <c r="Z41" s="21" t="s">
        <v>53</v>
      </c>
      <c r="AA41" s="21" t="s">
        <v>53</v>
      </c>
      <c r="AB41" s="21" t="s">
        <v>54</v>
      </c>
      <c r="AC41" s="21" t="s">
        <v>54</v>
      </c>
      <c r="AD41" s="21" t="s">
        <v>16</v>
      </c>
      <c r="AE41" s="21" t="s">
        <v>16</v>
      </c>
      <c r="AF41" s="21"/>
      <c r="AG41" s="21">
        <f t="shared" si="12"/>
        <v>20</v>
      </c>
      <c r="AH41" s="21">
        <f t="shared" si="13"/>
        <v>2</v>
      </c>
      <c r="AI41" s="21">
        <f t="shared" si="14"/>
        <v>0</v>
      </c>
      <c r="AJ41" s="21">
        <f t="shared" si="15"/>
        <v>0</v>
      </c>
      <c r="AK41" s="21">
        <f t="shared" si="6"/>
        <v>0</v>
      </c>
      <c r="AL41" s="21">
        <f t="shared" si="7"/>
        <v>0</v>
      </c>
      <c r="AM41" s="21">
        <f t="shared" si="8"/>
        <v>0</v>
      </c>
      <c r="AN41" s="21">
        <f t="shared" si="9"/>
        <v>0</v>
      </c>
      <c r="AO41" s="21">
        <f t="shared" si="16"/>
        <v>1</v>
      </c>
      <c r="AP41" s="21">
        <f t="shared" si="11"/>
        <v>0</v>
      </c>
    </row>
    <row r="42" spans="1:42" ht="14.5" x14ac:dyDescent="0.35">
      <c r="A42" s="23" t="s">
        <v>92</v>
      </c>
      <c r="B42" s="21" t="s">
        <v>53</v>
      </c>
      <c r="C42" s="21" t="s">
        <v>53</v>
      </c>
      <c r="D42" s="21" t="s">
        <v>53</v>
      </c>
      <c r="E42" s="21" t="s">
        <v>53</v>
      </c>
      <c r="F42" s="21" t="s">
        <v>53</v>
      </c>
      <c r="G42" s="21" t="s">
        <v>54</v>
      </c>
      <c r="H42" s="21" t="s">
        <v>54</v>
      </c>
      <c r="I42" s="21" t="s">
        <v>53</v>
      </c>
      <c r="J42" s="21" t="s">
        <v>53</v>
      </c>
      <c r="K42" s="21" t="s">
        <v>53</v>
      </c>
      <c r="L42" s="21" t="s">
        <v>53</v>
      </c>
      <c r="M42" s="21" t="s">
        <v>62</v>
      </c>
      <c r="N42" s="21" t="s">
        <v>54</v>
      </c>
      <c r="O42" s="21" t="s">
        <v>54</v>
      </c>
      <c r="P42" s="21" t="s">
        <v>53</v>
      </c>
      <c r="Q42" s="21" t="s">
        <v>53</v>
      </c>
      <c r="R42" s="21" t="s">
        <v>53</v>
      </c>
      <c r="S42" s="21" t="s">
        <v>53</v>
      </c>
      <c r="T42" s="21" t="s">
        <v>53</v>
      </c>
      <c r="U42" s="21" t="s">
        <v>54</v>
      </c>
      <c r="V42" s="21" t="s">
        <v>54</v>
      </c>
      <c r="W42" s="21" t="s">
        <v>53</v>
      </c>
      <c r="X42" s="21" t="s">
        <v>53</v>
      </c>
      <c r="Y42" s="21" t="s">
        <v>53</v>
      </c>
      <c r="Z42" s="21" t="s">
        <v>53</v>
      </c>
      <c r="AA42" s="21" t="s">
        <v>53</v>
      </c>
      <c r="AB42" s="21" t="s">
        <v>54</v>
      </c>
      <c r="AC42" s="21" t="s">
        <v>54</v>
      </c>
      <c r="AD42" s="21" t="s">
        <v>19</v>
      </c>
      <c r="AE42" s="21" t="s">
        <v>53</v>
      </c>
      <c r="AF42" s="21"/>
      <c r="AG42" s="21">
        <f t="shared" si="12"/>
        <v>21</v>
      </c>
      <c r="AH42" s="21">
        <f t="shared" si="13"/>
        <v>0</v>
      </c>
      <c r="AI42" s="21">
        <f t="shared" si="14"/>
        <v>1</v>
      </c>
      <c r="AJ42" s="21">
        <f t="shared" si="15"/>
        <v>0</v>
      </c>
      <c r="AK42" s="21">
        <f t="shared" si="6"/>
        <v>0</v>
      </c>
      <c r="AL42" s="21">
        <f t="shared" si="7"/>
        <v>0</v>
      </c>
      <c r="AM42" s="21">
        <f t="shared" si="8"/>
        <v>0</v>
      </c>
      <c r="AN42" s="21">
        <f t="shared" si="9"/>
        <v>0</v>
      </c>
      <c r="AO42" s="21">
        <f t="shared" si="16"/>
        <v>0</v>
      </c>
      <c r="AP42" s="21">
        <f t="shared" si="11"/>
        <v>1</v>
      </c>
    </row>
    <row r="43" spans="1:42" ht="14.5" x14ac:dyDescent="0.35">
      <c r="A43" s="1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14"/>
      <c r="AH43" s="14"/>
      <c r="AI43" s="14"/>
      <c r="AJ43" s="14"/>
      <c r="AK43" s="14"/>
      <c r="AL43" s="14"/>
      <c r="AM43" s="14"/>
      <c r="AN43" s="14"/>
      <c r="AO43" s="14"/>
      <c r="AP43" s="14"/>
    </row>
    <row r="44" spans="1:42" ht="14.5" x14ac:dyDescent="0.35">
      <c r="A44" s="1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14"/>
      <c r="AH44" s="14"/>
      <c r="AI44" s="14"/>
      <c r="AJ44" s="14"/>
      <c r="AK44" s="14"/>
      <c r="AL44" s="14"/>
      <c r="AM44" s="14"/>
      <c r="AN44" s="14"/>
      <c r="AO44" s="14"/>
      <c r="AP44" s="14"/>
    </row>
    <row r="45" spans="1:42" ht="14.5" x14ac:dyDescent="0.35">
      <c r="A45" s="1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14"/>
      <c r="AH45" s="14"/>
      <c r="AI45" s="14"/>
      <c r="AJ45" s="14"/>
      <c r="AK45" s="14"/>
      <c r="AL45" s="14"/>
      <c r="AM45" s="14"/>
      <c r="AN45" s="14"/>
      <c r="AO45" s="14"/>
      <c r="AP45" s="14"/>
    </row>
    <row r="46" spans="1:42" ht="14.5" x14ac:dyDescent="0.35">
      <c r="A46" s="1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14"/>
      <c r="AH46" s="14"/>
      <c r="AI46" s="14"/>
      <c r="AJ46" s="14"/>
      <c r="AK46" s="14"/>
      <c r="AL46" s="14"/>
      <c r="AM46" s="14"/>
      <c r="AN46" s="14"/>
      <c r="AO46" s="14"/>
      <c r="AP46" s="14"/>
    </row>
    <row r="47" spans="1:42" ht="14.5" x14ac:dyDescent="0.35">
      <c r="A47" s="1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14"/>
      <c r="AH47" s="14"/>
      <c r="AI47" s="14"/>
      <c r="AJ47" s="14"/>
      <c r="AK47" s="14"/>
      <c r="AL47" s="14"/>
      <c r="AM47" s="14"/>
      <c r="AN47" s="14"/>
      <c r="AO47" s="14"/>
      <c r="AP47" s="14"/>
    </row>
    <row r="48" spans="1:42" ht="14.5" x14ac:dyDescent="0.35">
      <c r="A48" s="1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14"/>
      <c r="AH48" s="14"/>
      <c r="AI48" s="14"/>
      <c r="AJ48" s="14"/>
      <c r="AK48" s="14"/>
      <c r="AL48" s="14"/>
      <c r="AM48" s="14"/>
      <c r="AN48" s="14"/>
      <c r="AO48" s="14"/>
      <c r="AP48" s="14"/>
    </row>
    <row r="49" spans="1:42" ht="14.5" x14ac:dyDescent="0.35">
      <c r="A49" s="1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14"/>
      <c r="AH49" s="14"/>
      <c r="AI49" s="14"/>
      <c r="AJ49" s="14"/>
      <c r="AK49" s="14"/>
      <c r="AL49" s="14"/>
      <c r="AM49" s="14"/>
      <c r="AN49" s="14"/>
      <c r="AO49" s="14"/>
      <c r="AP49" s="14"/>
    </row>
    <row r="50" spans="1:42" ht="14.5" x14ac:dyDescent="0.35">
      <c r="A50" s="1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14"/>
      <c r="AH50" s="14"/>
      <c r="AI50" s="14"/>
      <c r="AJ50" s="14"/>
      <c r="AK50" s="14"/>
      <c r="AL50" s="14"/>
      <c r="AM50" s="14"/>
      <c r="AN50" s="14"/>
      <c r="AO50" s="14"/>
      <c r="AP50" s="14"/>
    </row>
    <row r="51" spans="1:42" ht="14.5" x14ac:dyDescent="0.35">
      <c r="A51" s="1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14"/>
      <c r="AH51" s="14"/>
      <c r="AI51" s="14"/>
      <c r="AJ51" s="14"/>
      <c r="AK51" s="14"/>
      <c r="AL51" s="14"/>
      <c r="AM51" s="14"/>
      <c r="AN51" s="14"/>
      <c r="AO51" s="14"/>
      <c r="AP51" s="14"/>
    </row>
    <row r="52" spans="1:42" ht="14.5" x14ac:dyDescent="0.35">
      <c r="A52" s="1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14"/>
      <c r="AH52" s="14"/>
      <c r="AI52" s="14"/>
      <c r="AJ52" s="14"/>
      <c r="AK52" s="14"/>
      <c r="AL52" s="14"/>
      <c r="AM52" s="14"/>
      <c r="AN52" s="14"/>
      <c r="AO52" s="14"/>
      <c r="AP52" s="14"/>
    </row>
    <row r="53" spans="1:42" ht="14.5" x14ac:dyDescent="0.35">
      <c r="A53" s="1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14"/>
      <c r="AH53" s="14"/>
      <c r="AI53" s="14"/>
      <c r="AJ53" s="14"/>
      <c r="AK53" s="14"/>
      <c r="AL53" s="14"/>
      <c r="AM53" s="14"/>
      <c r="AN53" s="14"/>
      <c r="AO53" s="14"/>
      <c r="AP53" s="14"/>
    </row>
    <row r="54" spans="1:42" ht="14.5" x14ac:dyDescent="0.35">
      <c r="A54" s="1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14"/>
      <c r="AH54" s="14"/>
      <c r="AI54" s="14"/>
      <c r="AJ54" s="14"/>
      <c r="AK54" s="14"/>
      <c r="AL54" s="14"/>
      <c r="AM54" s="14"/>
      <c r="AN54" s="14"/>
      <c r="AO54" s="14"/>
      <c r="AP54" s="14"/>
    </row>
    <row r="55" spans="1:42" ht="14.5" x14ac:dyDescent="0.35">
      <c r="A55" s="1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14"/>
      <c r="AH55" s="14"/>
      <c r="AI55" s="14"/>
      <c r="AJ55" s="14"/>
      <c r="AK55" s="14"/>
      <c r="AL55" s="14"/>
      <c r="AM55" s="14"/>
      <c r="AN55" s="14"/>
      <c r="AO55" s="14"/>
      <c r="AP55" s="14"/>
    </row>
    <row r="56" spans="1:42" ht="14.5" x14ac:dyDescent="0.35">
      <c r="A56" s="1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14"/>
      <c r="AH56" s="14"/>
      <c r="AI56" s="14"/>
      <c r="AJ56" s="14"/>
      <c r="AK56" s="14"/>
      <c r="AL56" s="14"/>
      <c r="AM56" s="14"/>
      <c r="AN56" s="14"/>
      <c r="AO56" s="14"/>
      <c r="AP56" s="14"/>
    </row>
    <row r="57" spans="1:42" ht="14.5" x14ac:dyDescent="0.35">
      <c r="A57" s="1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14"/>
      <c r="AH57" s="14"/>
      <c r="AI57" s="14"/>
      <c r="AJ57" s="14"/>
      <c r="AK57" s="14"/>
      <c r="AL57" s="14"/>
      <c r="AM57" s="14"/>
      <c r="AN57" s="14"/>
      <c r="AO57" s="14"/>
      <c r="AP57" s="14"/>
    </row>
    <row r="58" spans="1:42" ht="14.5" x14ac:dyDescent="0.35">
      <c r="A58" s="1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14"/>
      <c r="AH58" s="14"/>
      <c r="AI58" s="14"/>
      <c r="AJ58" s="14"/>
      <c r="AK58" s="14"/>
      <c r="AL58" s="14"/>
      <c r="AM58" s="14"/>
      <c r="AN58" s="14"/>
      <c r="AO58" s="14"/>
      <c r="AP58" s="14"/>
    </row>
    <row r="59" spans="1:42" ht="14.5" x14ac:dyDescent="0.35">
      <c r="A59" s="1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14"/>
      <c r="AH59" s="14"/>
      <c r="AI59" s="14"/>
      <c r="AJ59" s="14"/>
      <c r="AK59" s="14"/>
      <c r="AL59" s="14"/>
      <c r="AM59" s="14"/>
      <c r="AN59" s="14"/>
      <c r="AO59" s="14"/>
      <c r="AP59" s="14"/>
    </row>
    <row r="60" spans="1:42" ht="14.5" x14ac:dyDescent="0.35">
      <c r="A60" s="1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14"/>
      <c r="AH60" s="14"/>
      <c r="AI60" s="14"/>
      <c r="AJ60" s="14"/>
      <c r="AK60" s="14"/>
      <c r="AL60" s="14"/>
      <c r="AM60" s="14"/>
      <c r="AN60" s="14"/>
      <c r="AO60" s="14"/>
      <c r="AP60" s="14"/>
    </row>
    <row r="61" spans="1:42" ht="14.5" x14ac:dyDescent="0.35">
      <c r="A61" s="1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14"/>
      <c r="AH61" s="14"/>
      <c r="AI61" s="14"/>
      <c r="AJ61" s="14"/>
      <c r="AK61" s="14"/>
      <c r="AL61" s="14"/>
      <c r="AM61" s="14"/>
      <c r="AN61" s="14"/>
      <c r="AO61" s="14"/>
      <c r="AP61" s="14"/>
    </row>
    <row r="62" spans="1:42" ht="14.5" x14ac:dyDescent="0.35">
      <c r="A62" s="1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14"/>
      <c r="AH62" s="14"/>
      <c r="AI62" s="14"/>
      <c r="AJ62" s="14"/>
      <c r="AK62" s="14"/>
      <c r="AL62" s="14"/>
      <c r="AM62" s="14"/>
      <c r="AN62" s="14"/>
      <c r="AO62" s="14"/>
      <c r="AP62" s="14"/>
    </row>
    <row r="63" spans="1:42" ht="14.5" x14ac:dyDescent="0.35">
      <c r="A63" s="1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14"/>
      <c r="AH63" s="14"/>
      <c r="AI63" s="14"/>
      <c r="AJ63" s="14"/>
      <c r="AK63" s="14"/>
      <c r="AL63" s="14"/>
      <c r="AM63" s="14"/>
      <c r="AN63" s="14"/>
      <c r="AO63" s="14"/>
      <c r="AP63" s="14"/>
    </row>
    <row r="64" spans="1:42" ht="14.5" x14ac:dyDescent="0.35">
      <c r="A64" s="1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14"/>
      <c r="AH64" s="14"/>
      <c r="AI64" s="14"/>
      <c r="AJ64" s="14"/>
      <c r="AK64" s="14"/>
      <c r="AL64" s="14"/>
      <c r="AM64" s="14"/>
      <c r="AN64" s="14"/>
      <c r="AO64" s="14"/>
      <c r="AP64" s="14"/>
    </row>
    <row r="65" spans="1:42" ht="14.5" x14ac:dyDescent="0.35">
      <c r="A65" s="1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14"/>
      <c r="AH65" s="14"/>
      <c r="AI65" s="14"/>
      <c r="AJ65" s="14"/>
      <c r="AK65" s="14"/>
      <c r="AL65" s="14"/>
      <c r="AM65" s="14"/>
      <c r="AN65" s="14"/>
      <c r="AO65" s="14"/>
      <c r="AP65" s="14"/>
    </row>
    <row r="66" spans="1:42" ht="14.5" x14ac:dyDescent="0.35">
      <c r="A66" s="1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14"/>
      <c r="AH66" s="14"/>
      <c r="AI66" s="14"/>
      <c r="AJ66" s="14"/>
      <c r="AK66" s="14"/>
      <c r="AL66" s="14"/>
      <c r="AM66" s="14"/>
      <c r="AN66" s="14"/>
      <c r="AO66" s="14"/>
      <c r="AP66" s="14"/>
    </row>
    <row r="67" spans="1:42" ht="14.5" x14ac:dyDescent="0.35">
      <c r="A67" s="1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14"/>
      <c r="AH67" s="14"/>
      <c r="AI67" s="14"/>
      <c r="AJ67" s="14"/>
      <c r="AK67" s="14"/>
      <c r="AL67" s="14"/>
      <c r="AM67" s="14"/>
      <c r="AN67" s="14"/>
      <c r="AO67" s="14"/>
      <c r="AP67" s="14"/>
    </row>
    <row r="68" spans="1:42" ht="14.5" x14ac:dyDescent="0.35">
      <c r="A68" s="1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14"/>
      <c r="AH68" s="14"/>
      <c r="AI68" s="14"/>
      <c r="AJ68" s="14"/>
      <c r="AK68" s="14"/>
      <c r="AL68" s="14"/>
      <c r="AM68" s="14"/>
      <c r="AN68" s="14"/>
      <c r="AO68" s="14"/>
      <c r="AP68" s="14"/>
    </row>
    <row r="69" spans="1:42" ht="14.5" x14ac:dyDescent="0.35">
      <c r="A69" s="1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14"/>
      <c r="AH69" s="14"/>
      <c r="AI69" s="14"/>
      <c r="AJ69" s="14"/>
      <c r="AK69" s="14"/>
      <c r="AL69" s="14"/>
      <c r="AM69" s="14"/>
      <c r="AN69" s="14"/>
      <c r="AO69" s="14"/>
      <c r="AP69" s="14"/>
    </row>
    <row r="70" spans="1:42" ht="14.5" x14ac:dyDescent="0.35">
      <c r="A70" s="1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14"/>
      <c r="AH70" s="14"/>
      <c r="AI70" s="14"/>
      <c r="AJ70" s="14"/>
      <c r="AK70" s="14"/>
      <c r="AL70" s="14"/>
      <c r="AM70" s="14"/>
      <c r="AN70" s="14"/>
      <c r="AO70" s="14"/>
      <c r="AP70" s="14"/>
    </row>
    <row r="71" spans="1:42" ht="14.5" x14ac:dyDescent="0.35">
      <c r="A71" s="1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14"/>
      <c r="AH71" s="14"/>
      <c r="AI71" s="14"/>
      <c r="AJ71" s="14"/>
      <c r="AK71" s="14"/>
      <c r="AL71" s="14"/>
      <c r="AM71" s="14"/>
      <c r="AN71" s="14"/>
      <c r="AO71" s="14"/>
      <c r="AP71" s="14"/>
    </row>
    <row r="72" spans="1:42" ht="14.5" x14ac:dyDescent="0.35">
      <c r="A72" s="1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14"/>
      <c r="AH72" s="14"/>
      <c r="AI72" s="14"/>
      <c r="AJ72" s="14"/>
      <c r="AK72" s="14"/>
      <c r="AL72" s="14"/>
      <c r="AM72" s="14"/>
      <c r="AN72" s="14"/>
      <c r="AO72" s="14"/>
      <c r="AP72" s="14"/>
    </row>
    <row r="73" spans="1:42" ht="14.5" x14ac:dyDescent="0.35">
      <c r="A73" s="1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14"/>
      <c r="AH73" s="14"/>
      <c r="AI73" s="14"/>
      <c r="AJ73" s="14"/>
      <c r="AK73" s="14"/>
      <c r="AL73" s="14"/>
      <c r="AM73" s="14"/>
      <c r="AN73" s="14"/>
      <c r="AO73" s="14"/>
      <c r="AP73" s="14"/>
    </row>
    <row r="74" spans="1:42" ht="14.5" x14ac:dyDescent="0.35">
      <c r="A74" s="1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14"/>
      <c r="AH74" s="14"/>
      <c r="AI74" s="14"/>
      <c r="AJ74" s="14"/>
      <c r="AK74" s="14"/>
      <c r="AL74" s="14"/>
      <c r="AM74" s="14"/>
      <c r="AN74" s="14"/>
      <c r="AO74" s="14"/>
      <c r="AP74" s="14"/>
    </row>
    <row r="75" spans="1:42" ht="14.5" x14ac:dyDescent="0.35">
      <c r="A75" s="1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14"/>
      <c r="AH75" s="14"/>
      <c r="AI75" s="14"/>
      <c r="AJ75" s="14"/>
      <c r="AK75" s="14"/>
      <c r="AL75" s="14"/>
      <c r="AM75" s="14"/>
      <c r="AN75" s="14"/>
      <c r="AO75" s="14"/>
      <c r="AP75" s="14"/>
    </row>
    <row r="76" spans="1:42" ht="14.5" x14ac:dyDescent="0.35">
      <c r="A76" s="1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14"/>
      <c r="AH76" s="14"/>
      <c r="AI76" s="14"/>
      <c r="AJ76" s="14"/>
      <c r="AK76" s="14"/>
      <c r="AL76" s="14"/>
      <c r="AM76" s="14"/>
      <c r="AN76" s="14"/>
      <c r="AO76" s="14"/>
      <c r="AP76" s="14"/>
    </row>
    <row r="77" spans="1:42" ht="14.5" x14ac:dyDescent="0.35">
      <c r="A77" s="1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14"/>
      <c r="AH77" s="14"/>
      <c r="AI77" s="14"/>
      <c r="AJ77" s="14"/>
      <c r="AK77" s="14"/>
      <c r="AL77" s="14"/>
      <c r="AM77" s="14"/>
      <c r="AN77" s="14"/>
      <c r="AO77" s="14"/>
      <c r="AP77" s="14"/>
    </row>
    <row r="78" spans="1:42" ht="14.5" x14ac:dyDescent="0.35">
      <c r="A78" s="1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14"/>
      <c r="AH78" s="14"/>
      <c r="AI78" s="14"/>
      <c r="AJ78" s="14"/>
      <c r="AK78" s="14"/>
      <c r="AL78" s="14"/>
      <c r="AM78" s="14"/>
      <c r="AN78" s="14"/>
      <c r="AO78" s="14"/>
      <c r="AP78" s="14"/>
    </row>
    <row r="79" spans="1:42" ht="14.5" x14ac:dyDescent="0.35">
      <c r="A79" s="1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14"/>
      <c r="AH79" s="14"/>
      <c r="AI79" s="14"/>
      <c r="AJ79" s="14"/>
      <c r="AK79" s="14"/>
      <c r="AL79" s="14"/>
      <c r="AM79" s="14"/>
      <c r="AN79" s="14"/>
      <c r="AO79" s="14"/>
      <c r="AP79" s="14"/>
    </row>
    <row r="80" spans="1:42" ht="14.5" x14ac:dyDescent="0.35">
      <c r="A80" s="1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14"/>
      <c r="AH80" s="14"/>
      <c r="AI80" s="14"/>
      <c r="AJ80" s="14"/>
      <c r="AK80" s="14"/>
      <c r="AL80" s="14"/>
      <c r="AM80" s="14"/>
      <c r="AN80" s="14"/>
      <c r="AO80" s="14"/>
      <c r="AP80" s="14"/>
    </row>
    <row r="81" spans="1:42" ht="14.5" x14ac:dyDescent="0.35">
      <c r="A81" s="1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14"/>
      <c r="AH81" s="14"/>
      <c r="AI81" s="14"/>
      <c r="AJ81" s="14"/>
      <c r="AK81" s="14"/>
      <c r="AL81" s="14"/>
      <c r="AM81" s="14"/>
      <c r="AN81" s="14"/>
      <c r="AO81" s="14"/>
      <c r="AP81" s="14"/>
    </row>
    <row r="82" spans="1:42" ht="14.5" x14ac:dyDescent="0.35">
      <c r="A82" s="1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14"/>
      <c r="AH82" s="14"/>
      <c r="AI82" s="14"/>
      <c r="AJ82" s="14"/>
      <c r="AK82" s="14"/>
      <c r="AL82" s="14"/>
      <c r="AM82" s="14"/>
      <c r="AN82" s="14"/>
      <c r="AO82" s="14"/>
      <c r="AP82" s="14"/>
    </row>
    <row r="83" spans="1:42" ht="14.5" x14ac:dyDescent="0.35">
      <c r="A83" s="1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14"/>
      <c r="AH83" s="14"/>
      <c r="AI83" s="14"/>
      <c r="AJ83" s="14"/>
      <c r="AK83" s="14"/>
      <c r="AL83" s="14"/>
      <c r="AM83" s="14"/>
      <c r="AN83" s="14"/>
      <c r="AO83" s="14"/>
      <c r="AP83" s="14"/>
    </row>
    <row r="84" spans="1:42" ht="14.5" x14ac:dyDescent="0.35">
      <c r="A84" s="1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14"/>
      <c r="AH84" s="14"/>
      <c r="AI84" s="14"/>
      <c r="AJ84" s="14"/>
      <c r="AK84" s="14"/>
      <c r="AL84" s="14"/>
      <c r="AM84" s="14"/>
      <c r="AN84" s="14"/>
      <c r="AO84" s="14"/>
      <c r="AP84" s="14"/>
    </row>
    <row r="85" spans="1:42" ht="14.5" x14ac:dyDescent="0.35">
      <c r="A85" s="1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14"/>
      <c r="AH85" s="14"/>
      <c r="AI85" s="14"/>
      <c r="AJ85" s="14"/>
      <c r="AK85" s="14"/>
      <c r="AL85" s="14"/>
      <c r="AM85" s="14"/>
      <c r="AN85" s="14"/>
      <c r="AO85" s="14"/>
      <c r="AP85" s="14"/>
    </row>
    <row r="86" spans="1:42" ht="14.5" x14ac:dyDescent="0.35">
      <c r="A86" s="1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14"/>
      <c r="AH86" s="14"/>
      <c r="AI86" s="14"/>
      <c r="AJ86" s="14"/>
      <c r="AK86" s="14"/>
      <c r="AL86" s="14"/>
      <c r="AM86" s="14"/>
      <c r="AN86" s="14"/>
      <c r="AO86" s="14"/>
      <c r="AP86" s="14"/>
    </row>
    <row r="87" spans="1:42" ht="14.5" x14ac:dyDescent="0.35">
      <c r="A87" s="1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14"/>
      <c r="AH87" s="14"/>
      <c r="AI87" s="14"/>
      <c r="AJ87" s="14"/>
      <c r="AK87" s="14"/>
      <c r="AL87" s="14"/>
      <c r="AM87" s="14"/>
      <c r="AN87" s="14"/>
      <c r="AO87" s="14"/>
      <c r="AP87" s="14"/>
    </row>
    <row r="88" spans="1:42" ht="14.5" x14ac:dyDescent="0.35">
      <c r="A88" s="1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14"/>
      <c r="AH88" s="14"/>
      <c r="AI88" s="14"/>
      <c r="AJ88" s="14"/>
      <c r="AK88" s="14"/>
      <c r="AL88" s="14"/>
      <c r="AM88" s="14"/>
      <c r="AN88" s="14"/>
      <c r="AO88" s="14"/>
      <c r="AP88" s="14"/>
    </row>
    <row r="89" spans="1:42" ht="14.5" x14ac:dyDescent="0.35">
      <c r="A89" s="1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14"/>
      <c r="AH89" s="14"/>
      <c r="AI89" s="14"/>
      <c r="AJ89" s="14"/>
      <c r="AK89" s="14"/>
      <c r="AL89" s="14"/>
      <c r="AM89" s="14"/>
      <c r="AN89" s="14"/>
      <c r="AO89" s="14"/>
      <c r="AP89" s="14"/>
    </row>
    <row r="90" spans="1:42" ht="14.5" x14ac:dyDescent="0.35">
      <c r="A90" s="1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14"/>
      <c r="AH90" s="14"/>
      <c r="AI90" s="14"/>
      <c r="AJ90" s="14"/>
      <c r="AK90" s="14"/>
      <c r="AL90" s="14"/>
      <c r="AM90" s="14"/>
      <c r="AN90" s="14"/>
      <c r="AO90" s="14"/>
      <c r="AP90" s="14"/>
    </row>
    <row r="91" spans="1:42" ht="14.5" x14ac:dyDescent="0.35">
      <c r="A91" s="1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14"/>
      <c r="AH91" s="14"/>
      <c r="AI91" s="14"/>
      <c r="AJ91" s="14"/>
      <c r="AK91" s="14"/>
      <c r="AL91" s="14"/>
      <c r="AM91" s="14"/>
      <c r="AN91" s="14"/>
      <c r="AO91" s="14"/>
      <c r="AP91" s="14"/>
    </row>
    <row r="92" spans="1:42" ht="14.5" x14ac:dyDescent="0.35">
      <c r="A92" s="1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14"/>
      <c r="AH92" s="14"/>
      <c r="AI92" s="14"/>
      <c r="AJ92" s="14"/>
      <c r="AK92" s="14"/>
      <c r="AL92" s="14"/>
      <c r="AM92" s="14"/>
      <c r="AN92" s="14"/>
      <c r="AO92" s="14"/>
      <c r="AP92" s="14"/>
    </row>
    <row r="93" spans="1:42" ht="14.5" x14ac:dyDescent="0.35">
      <c r="A93" s="1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14"/>
      <c r="AH93" s="14"/>
      <c r="AI93" s="14"/>
      <c r="AJ93" s="14"/>
      <c r="AK93" s="14"/>
      <c r="AL93" s="14"/>
      <c r="AM93" s="14"/>
      <c r="AN93" s="14"/>
      <c r="AO93" s="14"/>
      <c r="AP93" s="14"/>
    </row>
    <row r="94" spans="1:42" ht="14.5" x14ac:dyDescent="0.35">
      <c r="A94" s="1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14"/>
      <c r="AH94" s="14"/>
      <c r="AI94" s="14"/>
      <c r="AJ94" s="14"/>
      <c r="AK94" s="14"/>
      <c r="AL94" s="14"/>
      <c r="AM94" s="14"/>
      <c r="AN94" s="14"/>
      <c r="AO94" s="14"/>
      <c r="AP94" s="14"/>
    </row>
    <row r="95" spans="1:42" ht="14.5" x14ac:dyDescent="0.35">
      <c r="A95" s="1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14"/>
      <c r="AH95" s="14"/>
      <c r="AI95" s="14"/>
      <c r="AJ95" s="14"/>
      <c r="AK95" s="14"/>
      <c r="AL95" s="14"/>
      <c r="AM95" s="14"/>
      <c r="AN95" s="14"/>
      <c r="AO95" s="14"/>
      <c r="AP95" s="14"/>
    </row>
    <row r="96" spans="1:42" ht="14.5" x14ac:dyDescent="0.35">
      <c r="A96" s="1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14"/>
      <c r="AH96" s="14"/>
      <c r="AI96" s="14"/>
      <c r="AJ96" s="14"/>
      <c r="AK96" s="14"/>
      <c r="AL96" s="14"/>
      <c r="AM96" s="14"/>
      <c r="AN96" s="14"/>
      <c r="AO96" s="14"/>
      <c r="AP96" s="14"/>
    </row>
    <row r="97" spans="1:42" ht="14.5" x14ac:dyDescent="0.35">
      <c r="A97" s="1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14"/>
      <c r="AH97" s="14"/>
      <c r="AI97" s="14"/>
      <c r="AJ97" s="14"/>
      <c r="AK97" s="14"/>
      <c r="AL97" s="14"/>
      <c r="AM97" s="14"/>
      <c r="AN97" s="14"/>
      <c r="AO97" s="14"/>
      <c r="AP97" s="14"/>
    </row>
    <row r="98" spans="1:42" ht="14.5" x14ac:dyDescent="0.35">
      <c r="A98" s="1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14"/>
      <c r="AH98" s="14"/>
      <c r="AI98" s="14"/>
      <c r="AJ98" s="14"/>
      <c r="AK98" s="14"/>
      <c r="AL98" s="14"/>
      <c r="AM98" s="14"/>
      <c r="AN98" s="14"/>
      <c r="AO98" s="14"/>
      <c r="AP98" s="14"/>
    </row>
    <row r="99" spans="1:42" ht="14.5" x14ac:dyDescent="0.35">
      <c r="A99" s="1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14"/>
      <c r="AH99" s="14"/>
      <c r="AI99" s="14"/>
      <c r="AJ99" s="14"/>
      <c r="AK99" s="14"/>
      <c r="AL99" s="14"/>
      <c r="AM99" s="14"/>
      <c r="AN99" s="14"/>
      <c r="AO99" s="14"/>
      <c r="AP99" s="14"/>
    </row>
    <row r="100" spans="1:42" ht="14.5" x14ac:dyDescent="0.35">
      <c r="A100" s="1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</row>
    <row r="101" spans="1:42" ht="14.5" x14ac:dyDescent="0.35">
      <c r="A101" s="1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</row>
    <row r="102" spans="1:42" ht="14.5" x14ac:dyDescent="0.35">
      <c r="A102" s="1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</row>
    <row r="103" spans="1:42" ht="14.5" x14ac:dyDescent="0.35">
      <c r="A103" s="1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</row>
    <row r="104" spans="1:42" ht="14.5" x14ac:dyDescent="0.35">
      <c r="A104" s="1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</row>
    <row r="105" spans="1:42" ht="14.5" x14ac:dyDescent="0.35">
      <c r="A105" s="1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</row>
    <row r="106" spans="1:42" ht="14.5" x14ac:dyDescent="0.35">
      <c r="A106" s="1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</row>
    <row r="107" spans="1:42" ht="14.5" x14ac:dyDescent="0.35">
      <c r="A107" s="1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</row>
    <row r="108" spans="1:42" ht="14.5" x14ac:dyDescent="0.35">
      <c r="A108" s="1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</row>
    <row r="109" spans="1:42" ht="14.5" x14ac:dyDescent="0.35">
      <c r="A109" s="1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</row>
    <row r="110" spans="1:42" ht="14.5" x14ac:dyDescent="0.35">
      <c r="A110" s="1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</row>
    <row r="111" spans="1:42" ht="14.5" x14ac:dyDescent="0.35">
      <c r="A111" s="1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</row>
    <row r="112" spans="1:42" ht="14.5" x14ac:dyDescent="0.35">
      <c r="A112" s="1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</row>
    <row r="113" spans="1:42" ht="14.5" x14ac:dyDescent="0.35">
      <c r="A113" s="1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</row>
    <row r="114" spans="1:42" ht="14.5" x14ac:dyDescent="0.35">
      <c r="A114" s="1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</row>
    <row r="115" spans="1:42" ht="14.5" x14ac:dyDescent="0.35">
      <c r="A115" s="1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</row>
    <row r="116" spans="1:42" ht="14.5" x14ac:dyDescent="0.35">
      <c r="A116" s="1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</row>
    <row r="117" spans="1:42" ht="14.5" x14ac:dyDescent="0.35">
      <c r="A117" s="1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</row>
    <row r="118" spans="1:42" ht="14.5" x14ac:dyDescent="0.35">
      <c r="A118" s="1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</row>
    <row r="119" spans="1:42" ht="14.5" x14ac:dyDescent="0.35">
      <c r="A119" s="1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</row>
    <row r="120" spans="1:42" ht="14.5" x14ac:dyDescent="0.35">
      <c r="A120" s="1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</row>
    <row r="121" spans="1:42" ht="14.5" x14ac:dyDescent="0.35">
      <c r="A121" s="1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</row>
    <row r="122" spans="1:42" ht="14.5" x14ac:dyDescent="0.35">
      <c r="A122" s="1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</row>
    <row r="123" spans="1:42" ht="14.5" x14ac:dyDescent="0.35">
      <c r="A123" s="1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</row>
    <row r="124" spans="1:42" ht="14.5" x14ac:dyDescent="0.35">
      <c r="A124" s="1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</row>
    <row r="125" spans="1:42" ht="14.5" x14ac:dyDescent="0.35">
      <c r="A125" s="1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</row>
    <row r="126" spans="1:42" ht="14.5" x14ac:dyDescent="0.35">
      <c r="A126" s="1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</row>
    <row r="127" spans="1:42" ht="14.5" x14ac:dyDescent="0.35">
      <c r="A127" s="1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</row>
    <row r="128" spans="1:42" ht="14.5" x14ac:dyDescent="0.35">
      <c r="A128" s="1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</row>
    <row r="129" spans="1:42" ht="14.5" x14ac:dyDescent="0.35">
      <c r="A129" s="1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</row>
    <row r="130" spans="1:42" ht="14.5" x14ac:dyDescent="0.35">
      <c r="A130" s="1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</row>
    <row r="131" spans="1:42" ht="14.5" x14ac:dyDescent="0.35">
      <c r="A131" s="1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</row>
    <row r="132" spans="1:42" ht="14.5" x14ac:dyDescent="0.35">
      <c r="A132" s="1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</row>
    <row r="133" spans="1:42" ht="14.5" x14ac:dyDescent="0.35">
      <c r="A133" s="1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</row>
    <row r="134" spans="1:42" ht="14.5" x14ac:dyDescent="0.35">
      <c r="A134" s="1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</row>
    <row r="135" spans="1:42" ht="14.5" x14ac:dyDescent="0.35">
      <c r="A135" s="1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</row>
    <row r="136" spans="1:42" ht="14.5" x14ac:dyDescent="0.35">
      <c r="A136" s="1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</row>
    <row r="137" spans="1:42" ht="14.5" x14ac:dyDescent="0.35">
      <c r="A137" s="1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</row>
    <row r="138" spans="1:42" ht="14.5" x14ac:dyDescent="0.35">
      <c r="A138" s="1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</row>
    <row r="139" spans="1:42" ht="14.5" x14ac:dyDescent="0.35">
      <c r="A139" s="1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</row>
    <row r="140" spans="1:42" ht="14.5" x14ac:dyDescent="0.35">
      <c r="A140" s="1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</row>
    <row r="141" spans="1:42" ht="14.5" x14ac:dyDescent="0.35">
      <c r="A141" s="1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</row>
    <row r="142" spans="1:42" ht="14.5" x14ac:dyDescent="0.35">
      <c r="A142" s="1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</row>
    <row r="143" spans="1:42" ht="14.5" x14ac:dyDescent="0.35">
      <c r="A143" s="1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</row>
    <row r="144" spans="1:42" ht="14.5" x14ac:dyDescent="0.35">
      <c r="A144" s="1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</row>
    <row r="145" spans="1:42" ht="14.5" x14ac:dyDescent="0.35">
      <c r="A145" s="1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</row>
    <row r="146" spans="1:42" ht="14.5" x14ac:dyDescent="0.35">
      <c r="A146" s="1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</row>
    <row r="147" spans="1:42" ht="14.5" x14ac:dyDescent="0.35">
      <c r="A147" s="1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</row>
    <row r="148" spans="1:42" ht="14.5" x14ac:dyDescent="0.35">
      <c r="A148" s="1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</row>
    <row r="149" spans="1:42" ht="14.5" x14ac:dyDescent="0.35">
      <c r="A149" s="1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</row>
    <row r="150" spans="1:42" ht="14.5" x14ac:dyDescent="0.35">
      <c r="A150" s="1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</row>
    <row r="151" spans="1:42" ht="14.5" x14ac:dyDescent="0.35">
      <c r="A151" s="1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</row>
    <row r="152" spans="1:42" ht="14.5" x14ac:dyDescent="0.35">
      <c r="A152" s="1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</row>
    <row r="153" spans="1:42" ht="14.5" x14ac:dyDescent="0.35">
      <c r="A153" s="1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</row>
    <row r="154" spans="1:42" ht="14.5" x14ac:dyDescent="0.35">
      <c r="A154" s="1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</row>
    <row r="155" spans="1:42" ht="14.5" x14ac:dyDescent="0.35">
      <c r="A155" s="1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</row>
    <row r="156" spans="1:42" ht="14.5" x14ac:dyDescent="0.35">
      <c r="A156" s="1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</row>
    <row r="157" spans="1:42" ht="14.5" x14ac:dyDescent="0.35">
      <c r="A157" s="1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</row>
    <row r="158" spans="1:42" ht="14.5" x14ac:dyDescent="0.35">
      <c r="A158" s="1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</row>
    <row r="159" spans="1:42" ht="14.5" x14ac:dyDescent="0.35">
      <c r="A159" s="1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</row>
    <row r="160" spans="1:42" ht="14.5" x14ac:dyDescent="0.35">
      <c r="A160" s="1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</row>
    <row r="161" spans="1:42" ht="14.5" x14ac:dyDescent="0.35">
      <c r="A161" s="1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</row>
    <row r="162" spans="1:42" ht="14.5" x14ac:dyDescent="0.35">
      <c r="A162" s="1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</row>
    <row r="163" spans="1:42" ht="14.5" x14ac:dyDescent="0.35">
      <c r="A163" s="1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</row>
    <row r="164" spans="1:42" ht="14.5" x14ac:dyDescent="0.35">
      <c r="A164" s="1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</row>
    <row r="165" spans="1:42" ht="14.5" x14ac:dyDescent="0.35">
      <c r="A165" s="1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</row>
    <row r="166" spans="1:42" ht="14.5" x14ac:dyDescent="0.35">
      <c r="A166" s="1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</row>
    <row r="167" spans="1:42" ht="14.5" x14ac:dyDescent="0.35">
      <c r="A167" s="1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</row>
    <row r="168" spans="1:42" ht="14.5" x14ac:dyDescent="0.35">
      <c r="A168" s="1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</row>
    <row r="169" spans="1:42" ht="14.5" x14ac:dyDescent="0.35">
      <c r="A169" s="1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</row>
    <row r="170" spans="1:42" ht="14.5" x14ac:dyDescent="0.35">
      <c r="A170" s="1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</row>
    <row r="171" spans="1:42" ht="14.5" x14ac:dyDescent="0.35">
      <c r="A171" s="1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</row>
    <row r="172" spans="1:42" ht="14.5" x14ac:dyDescent="0.35">
      <c r="A172" s="1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</row>
    <row r="173" spans="1:42" ht="14.5" x14ac:dyDescent="0.35">
      <c r="A173" s="1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</row>
    <row r="174" spans="1:42" ht="14.5" x14ac:dyDescent="0.35">
      <c r="A174" s="1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</row>
    <row r="175" spans="1:42" ht="14.5" x14ac:dyDescent="0.35">
      <c r="A175" s="1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</row>
    <row r="176" spans="1:42" ht="14.5" x14ac:dyDescent="0.35">
      <c r="A176" s="1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</row>
    <row r="177" spans="1:42" ht="14.5" x14ac:dyDescent="0.35">
      <c r="A177" s="1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</row>
    <row r="178" spans="1:42" ht="14.5" x14ac:dyDescent="0.35">
      <c r="A178" s="1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</row>
    <row r="179" spans="1:42" ht="14.5" x14ac:dyDescent="0.35">
      <c r="A179" s="1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</row>
    <row r="180" spans="1:42" ht="14.5" x14ac:dyDescent="0.35">
      <c r="A180" s="1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</row>
    <row r="181" spans="1:42" ht="14.5" x14ac:dyDescent="0.35">
      <c r="A181" s="1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</row>
    <row r="182" spans="1:42" ht="14.5" x14ac:dyDescent="0.35">
      <c r="A182" s="1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</row>
    <row r="183" spans="1:42" ht="14.5" x14ac:dyDescent="0.35">
      <c r="A183" s="1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</row>
    <row r="184" spans="1:42" ht="14.5" x14ac:dyDescent="0.35">
      <c r="A184" s="1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</row>
    <row r="185" spans="1:42" ht="14.5" x14ac:dyDescent="0.35">
      <c r="A185" s="1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</row>
    <row r="186" spans="1:42" ht="14.5" x14ac:dyDescent="0.35">
      <c r="A186" s="1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</row>
    <row r="187" spans="1:42" ht="14.5" x14ac:dyDescent="0.35">
      <c r="A187" s="1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</row>
    <row r="188" spans="1:42" ht="14.5" x14ac:dyDescent="0.35">
      <c r="A188" s="1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</row>
    <row r="189" spans="1:42" ht="14.5" x14ac:dyDescent="0.35">
      <c r="A189" s="1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</row>
    <row r="190" spans="1:42" ht="14.5" x14ac:dyDescent="0.35">
      <c r="A190" s="1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</row>
    <row r="191" spans="1:42" ht="14.5" x14ac:dyDescent="0.35">
      <c r="A191" s="1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</row>
    <row r="192" spans="1:42" ht="14.5" x14ac:dyDescent="0.35">
      <c r="A192" s="1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</row>
    <row r="193" spans="1:42" ht="14.5" x14ac:dyDescent="0.35">
      <c r="A193" s="1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</row>
    <row r="194" spans="1:42" ht="14.5" x14ac:dyDescent="0.35">
      <c r="A194" s="1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</row>
    <row r="195" spans="1:42" ht="14.5" x14ac:dyDescent="0.35">
      <c r="A195" s="1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</row>
    <row r="196" spans="1:42" ht="14.5" x14ac:dyDescent="0.35">
      <c r="A196" s="1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</row>
    <row r="197" spans="1:42" ht="14.5" x14ac:dyDescent="0.35">
      <c r="A197" s="1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</row>
    <row r="198" spans="1:42" ht="14.5" x14ac:dyDescent="0.35">
      <c r="A198" s="1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</row>
    <row r="199" spans="1:42" ht="14.5" x14ac:dyDescent="0.35">
      <c r="A199" s="1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</row>
    <row r="200" spans="1:42" ht="14.5" x14ac:dyDescent="0.35">
      <c r="A200" s="1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</row>
    <row r="201" spans="1:42" ht="14.5" x14ac:dyDescent="0.35">
      <c r="A201" s="1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</row>
    <row r="202" spans="1:42" ht="14.5" x14ac:dyDescent="0.35">
      <c r="A202" s="1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</row>
    <row r="203" spans="1:42" ht="14.5" x14ac:dyDescent="0.35">
      <c r="A203" s="1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</row>
    <row r="204" spans="1:42" ht="14.5" x14ac:dyDescent="0.35">
      <c r="A204" s="1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</row>
    <row r="205" spans="1:42" ht="14.5" x14ac:dyDescent="0.35">
      <c r="A205" s="1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</row>
    <row r="206" spans="1:42" ht="14.5" x14ac:dyDescent="0.35">
      <c r="A206" s="1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</row>
    <row r="207" spans="1:42" ht="14.5" x14ac:dyDescent="0.35">
      <c r="A207" s="1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</row>
    <row r="208" spans="1:42" ht="14.5" x14ac:dyDescent="0.35">
      <c r="A208" s="1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</row>
    <row r="209" spans="1:42" ht="14.5" x14ac:dyDescent="0.35">
      <c r="A209" s="1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</row>
    <row r="210" spans="1:42" ht="14.5" x14ac:dyDescent="0.35">
      <c r="A210" s="1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</row>
    <row r="211" spans="1:42" ht="14.5" x14ac:dyDescent="0.35">
      <c r="A211" s="1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</row>
    <row r="212" spans="1:42" ht="14.5" x14ac:dyDescent="0.35">
      <c r="A212" s="1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</row>
    <row r="213" spans="1:42" ht="14.5" x14ac:dyDescent="0.35">
      <c r="A213" s="1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</row>
    <row r="214" spans="1:42" ht="14.5" x14ac:dyDescent="0.35">
      <c r="A214" s="1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</row>
    <row r="215" spans="1:42" ht="14.5" x14ac:dyDescent="0.35">
      <c r="A215" s="1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</row>
    <row r="216" spans="1:42" ht="14.5" x14ac:dyDescent="0.35">
      <c r="A216" s="1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</row>
    <row r="217" spans="1:42" ht="14.5" x14ac:dyDescent="0.35">
      <c r="A217" s="1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</row>
    <row r="218" spans="1:42" ht="14.5" x14ac:dyDescent="0.35">
      <c r="A218" s="1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</row>
    <row r="219" spans="1:42" ht="14.5" x14ac:dyDescent="0.35">
      <c r="A219" s="1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</row>
    <row r="220" spans="1:42" ht="14.5" x14ac:dyDescent="0.35">
      <c r="A220" s="1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</row>
    <row r="221" spans="1:42" ht="14.5" x14ac:dyDescent="0.35">
      <c r="A221" s="1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</row>
    <row r="222" spans="1:42" ht="14.5" x14ac:dyDescent="0.35">
      <c r="A222" s="1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</row>
    <row r="223" spans="1:42" ht="14.5" x14ac:dyDescent="0.35">
      <c r="A223" s="1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</row>
    <row r="224" spans="1:42" ht="14.5" x14ac:dyDescent="0.35">
      <c r="A224" s="1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</row>
    <row r="225" spans="1:42" ht="14.5" x14ac:dyDescent="0.35">
      <c r="A225" s="1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</row>
    <row r="226" spans="1:42" ht="14.5" x14ac:dyDescent="0.35">
      <c r="A226" s="1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</row>
    <row r="227" spans="1:42" ht="14.5" x14ac:dyDescent="0.35">
      <c r="A227" s="1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</row>
    <row r="228" spans="1:42" ht="14.5" x14ac:dyDescent="0.35">
      <c r="A228" s="1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</row>
    <row r="229" spans="1:42" ht="14.5" x14ac:dyDescent="0.35">
      <c r="A229" s="1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</row>
    <row r="230" spans="1:42" ht="14.5" x14ac:dyDescent="0.35">
      <c r="A230" s="1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</row>
    <row r="231" spans="1:42" ht="14.5" x14ac:dyDescent="0.35">
      <c r="A231" s="1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</row>
    <row r="232" spans="1:42" ht="14.5" x14ac:dyDescent="0.35">
      <c r="A232" s="1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</row>
    <row r="233" spans="1:42" ht="14.5" x14ac:dyDescent="0.35">
      <c r="A233" s="1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</row>
    <row r="234" spans="1:42" ht="14.5" x14ac:dyDescent="0.35">
      <c r="A234" s="1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</row>
    <row r="235" spans="1:42" ht="14.5" x14ac:dyDescent="0.35">
      <c r="A235" s="1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</row>
    <row r="236" spans="1:42" ht="14.5" x14ac:dyDescent="0.35">
      <c r="A236" s="1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</row>
    <row r="237" spans="1:42" ht="14.5" x14ac:dyDescent="0.35">
      <c r="A237" s="1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</row>
    <row r="238" spans="1:42" ht="14.5" x14ac:dyDescent="0.35">
      <c r="A238" s="1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</row>
    <row r="239" spans="1:42" ht="14.5" x14ac:dyDescent="0.35">
      <c r="A239" s="1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</row>
    <row r="240" spans="1:42" ht="14.5" x14ac:dyDescent="0.35">
      <c r="A240" s="1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</row>
    <row r="241" spans="1:42" ht="14.5" x14ac:dyDescent="0.35">
      <c r="A241" s="1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</row>
    <row r="242" spans="1:42" ht="14.5" x14ac:dyDescent="0.35">
      <c r="A242" s="1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</row>
    <row r="243" spans="1:42" ht="14.5" x14ac:dyDescent="0.35">
      <c r="A243" s="1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</row>
    <row r="244" spans="1:42" ht="14.5" x14ac:dyDescent="0.35">
      <c r="A244" s="1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</row>
    <row r="245" spans="1:42" ht="14.5" x14ac:dyDescent="0.35">
      <c r="A245" s="1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</row>
    <row r="246" spans="1:42" ht="14.5" x14ac:dyDescent="0.35">
      <c r="A246" s="1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</row>
    <row r="247" spans="1:42" ht="14.5" x14ac:dyDescent="0.35">
      <c r="A247" s="1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</row>
    <row r="248" spans="1:42" ht="14.5" x14ac:dyDescent="0.35">
      <c r="A248" s="1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</row>
    <row r="249" spans="1:42" ht="14.5" x14ac:dyDescent="0.35">
      <c r="A249" s="1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</row>
    <row r="250" spans="1:42" ht="14.5" x14ac:dyDescent="0.35">
      <c r="A250" s="1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</row>
    <row r="251" spans="1:42" ht="14.5" x14ac:dyDescent="0.35">
      <c r="A251" s="1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</row>
    <row r="252" spans="1:42" ht="14.5" x14ac:dyDescent="0.35">
      <c r="A252" s="1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</row>
    <row r="253" spans="1:42" ht="14.5" x14ac:dyDescent="0.35">
      <c r="A253" s="1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</row>
    <row r="254" spans="1:42" ht="14.5" x14ac:dyDescent="0.35">
      <c r="A254" s="1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</row>
    <row r="255" spans="1:42" ht="14.5" x14ac:dyDescent="0.35">
      <c r="A255" s="1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</row>
    <row r="256" spans="1:42" ht="14.5" x14ac:dyDescent="0.35">
      <c r="A256" s="1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</row>
    <row r="257" spans="1:42" ht="14.5" x14ac:dyDescent="0.35">
      <c r="A257" s="1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</row>
    <row r="258" spans="1:42" ht="14.5" x14ac:dyDescent="0.35">
      <c r="A258" s="1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</row>
    <row r="259" spans="1:42" ht="14.5" x14ac:dyDescent="0.35">
      <c r="A259" s="1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</row>
    <row r="260" spans="1:42" ht="14.5" x14ac:dyDescent="0.35">
      <c r="A260" s="1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</row>
    <row r="261" spans="1:42" ht="14.5" x14ac:dyDescent="0.35">
      <c r="A261" s="1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</row>
    <row r="262" spans="1:42" ht="14.5" x14ac:dyDescent="0.35">
      <c r="A262" s="1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</row>
    <row r="263" spans="1:42" ht="14.5" x14ac:dyDescent="0.35">
      <c r="A263" s="1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</row>
    <row r="264" spans="1:42" ht="14.5" x14ac:dyDescent="0.35">
      <c r="A264" s="1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</row>
    <row r="265" spans="1:42" ht="14.5" x14ac:dyDescent="0.35">
      <c r="A265" s="1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</row>
    <row r="266" spans="1:42" ht="14.5" x14ac:dyDescent="0.35">
      <c r="A266" s="1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</row>
    <row r="267" spans="1:42" ht="14.5" x14ac:dyDescent="0.35">
      <c r="A267" s="1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</row>
    <row r="268" spans="1:42" ht="14.5" x14ac:dyDescent="0.35">
      <c r="A268" s="1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</row>
    <row r="269" spans="1:42" ht="14.5" x14ac:dyDescent="0.35">
      <c r="A269" s="1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</row>
    <row r="270" spans="1:42" ht="14.5" x14ac:dyDescent="0.35">
      <c r="A270" s="1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</row>
    <row r="271" spans="1:42" ht="14.5" x14ac:dyDescent="0.35">
      <c r="A271" s="1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</row>
    <row r="272" spans="1:42" ht="14.5" x14ac:dyDescent="0.35">
      <c r="A272" s="1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</row>
    <row r="273" spans="1:42" ht="14.5" x14ac:dyDescent="0.35">
      <c r="A273" s="1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</row>
    <row r="274" spans="1:42" ht="14.5" x14ac:dyDescent="0.35">
      <c r="A274" s="1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</row>
    <row r="275" spans="1:42" ht="14.5" x14ac:dyDescent="0.35">
      <c r="A275" s="1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</row>
    <row r="276" spans="1:42" ht="14.5" x14ac:dyDescent="0.35">
      <c r="A276" s="1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</row>
    <row r="277" spans="1:42" ht="14.5" x14ac:dyDescent="0.35">
      <c r="A277" s="1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</row>
    <row r="278" spans="1:42" ht="14.5" x14ac:dyDescent="0.35">
      <c r="A278" s="1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</row>
    <row r="279" spans="1:42" ht="14.5" x14ac:dyDescent="0.35">
      <c r="A279" s="1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</row>
    <row r="280" spans="1:42" ht="14.5" x14ac:dyDescent="0.35">
      <c r="A280" s="1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</row>
    <row r="281" spans="1:42" ht="14.5" x14ac:dyDescent="0.35">
      <c r="A281" s="1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</row>
    <row r="282" spans="1:42" ht="14.5" x14ac:dyDescent="0.35">
      <c r="A282" s="1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</row>
    <row r="283" spans="1:42" ht="14.5" x14ac:dyDescent="0.35">
      <c r="A283" s="1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</row>
    <row r="284" spans="1:42" ht="14.5" x14ac:dyDescent="0.35">
      <c r="A284" s="1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</row>
    <row r="285" spans="1:42" ht="14.5" x14ac:dyDescent="0.35">
      <c r="A285" s="1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</row>
    <row r="286" spans="1:42" ht="14.5" x14ac:dyDescent="0.35">
      <c r="A286" s="1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</row>
    <row r="287" spans="1:42" ht="14.5" x14ac:dyDescent="0.35">
      <c r="A287" s="1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</row>
    <row r="288" spans="1:42" ht="14.5" x14ac:dyDescent="0.35">
      <c r="A288" s="1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</row>
    <row r="289" spans="1:42" ht="14.5" x14ac:dyDescent="0.35">
      <c r="A289" s="1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</row>
    <row r="290" spans="1:42" ht="14.5" x14ac:dyDescent="0.35">
      <c r="A290" s="1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</row>
    <row r="291" spans="1:42" ht="14.5" x14ac:dyDescent="0.35">
      <c r="A291" s="1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</row>
    <row r="292" spans="1:42" ht="14.5" x14ac:dyDescent="0.35">
      <c r="A292" s="1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</row>
    <row r="293" spans="1:42" ht="14.5" x14ac:dyDescent="0.35">
      <c r="A293" s="1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</row>
    <row r="294" spans="1:42" ht="14.5" x14ac:dyDescent="0.35">
      <c r="A294" s="1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</row>
    <row r="295" spans="1:42" ht="14.5" x14ac:dyDescent="0.35">
      <c r="A295" s="1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</row>
    <row r="296" spans="1:42" ht="14.5" x14ac:dyDescent="0.35">
      <c r="A296" s="1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</row>
    <row r="297" spans="1:42" ht="14.5" x14ac:dyDescent="0.35">
      <c r="A297" s="1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</row>
    <row r="298" spans="1:42" ht="14.5" x14ac:dyDescent="0.35">
      <c r="A298" s="1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</row>
    <row r="299" spans="1:42" ht="14.5" x14ac:dyDescent="0.35">
      <c r="A299" s="1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</row>
    <row r="300" spans="1:42" ht="14.5" x14ac:dyDescent="0.35">
      <c r="A300" s="1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</row>
    <row r="301" spans="1:42" ht="14.5" x14ac:dyDescent="0.35">
      <c r="A301" s="1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</row>
    <row r="302" spans="1:42" ht="14.5" x14ac:dyDescent="0.35">
      <c r="A302" s="1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</row>
    <row r="303" spans="1:42" ht="14.5" x14ac:dyDescent="0.35">
      <c r="A303" s="1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</row>
    <row r="304" spans="1:42" ht="14.5" x14ac:dyDescent="0.35">
      <c r="A304" s="1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</row>
    <row r="305" spans="1:42" ht="14.5" x14ac:dyDescent="0.35">
      <c r="A305" s="1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</row>
    <row r="306" spans="1:42" ht="14.5" x14ac:dyDescent="0.35">
      <c r="A306" s="1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</row>
    <row r="307" spans="1:42" ht="14.5" x14ac:dyDescent="0.35">
      <c r="A307" s="1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</row>
    <row r="308" spans="1:42" ht="14.5" x14ac:dyDescent="0.35">
      <c r="A308" s="1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</row>
    <row r="309" spans="1:42" ht="14.5" x14ac:dyDescent="0.35">
      <c r="A309" s="1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</row>
    <row r="310" spans="1:42" ht="14.5" x14ac:dyDescent="0.35">
      <c r="A310" s="1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</row>
    <row r="311" spans="1:42" ht="14.5" x14ac:dyDescent="0.35">
      <c r="A311" s="1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</row>
    <row r="312" spans="1:42" ht="14.5" x14ac:dyDescent="0.35">
      <c r="A312" s="1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</row>
    <row r="313" spans="1:42" ht="14.5" x14ac:dyDescent="0.35">
      <c r="A313" s="1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</row>
    <row r="314" spans="1:42" ht="14.5" x14ac:dyDescent="0.35">
      <c r="A314" s="1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</row>
    <row r="315" spans="1:42" ht="14.5" x14ac:dyDescent="0.35">
      <c r="A315" s="1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</row>
    <row r="316" spans="1:42" ht="14.5" x14ac:dyDescent="0.35">
      <c r="A316" s="1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</row>
    <row r="317" spans="1:42" ht="14.5" x14ac:dyDescent="0.35">
      <c r="A317" s="1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</row>
    <row r="318" spans="1:42" ht="14.5" x14ac:dyDescent="0.35">
      <c r="A318" s="1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</row>
    <row r="319" spans="1:42" ht="14.5" x14ac:dyDescent="0.35">
      <c r="A319" s="1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</row>
    <row r="320" spans="1:42" ht="14.5" x14ac:dyDescent="0.35">
      <c r="A320" s="1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</row>
    <row r="321" spans="1:42" ht="14.5" x14ac:dyDescent="0.35">
      <c r="A321" s="1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</row>
    <row r="322" spans="1:42" ht="14.5" x14ac:dyDescent="0.35">
      <c r="A322" s="1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</row>
    <row r="323" spans="1:42" ht="14.5" x14ac:dyDescent="0.35">
      <c r="A323" s="1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</row>
    <row r="324" spans="1:42" ht="14.5" x14ac:dyDescent="0.35">
      <c r="A324" s="1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</row>
    <row r="325" spans="1:42" ht="14.5" x14ac:dyDescent="0.35">
      <c r="A325" s="1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</row>
    <row r="326" spans="1:42" ht="14.5" x14ac:dyDescent="0.35">
      <c r="A326" s="1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</row>
    <row r="327" spans="1:42" ht="14.5" x14ac:dyDescent="0.35">
      <c r="A327" s="1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</row>
    <row r="328" spans="1:42" ht="14.5" x14ac:dyDescent="0.35">
      <c r="A328" s="1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</row>
    <row r="329" spans="1:42" ht="14.5" x14ac:dyDescent="0.35">
      <c r="A329" s="1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</row>
    <row r="330" spans="1:42" ht="14.5" x14ac:dyDescent="0.35">
      <c r="A330" s="1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</row>
    <row r="331" spans="1:42" ht="14.5" x14ac:dyDescent="0.35">
      <c r="A331" s="1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</row>
    <row r="332" spans="1:42" ht="14.5" x14ac:dyDescent="0.35">
      <c r="A332" s="1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</row>
    <row r="333" spans="1:42" ht="14.5" x14ac:dyDescent="0.35">
      <c r="A333" s="1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</row>
    <row r="334" spans="1:42" ht="14.5" x14ac:dyDescent="0.35">
      <c r="A334" s="1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</row>
    <row r="335" spans="1:42" ht="14.5" x14ac:dyDescent="0.35">
      <c r="A335" s="1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</row>
    <row r="336" spans="1:42" ht="14.5" x14ac:dyDescent="0.35">
      <c r="A336" s="1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</row>
    <row r="337" spans="1:42" ht="14.5" x14ac:dyDescent="0.35">
      <c r="A337" s="1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</row>
    <row r="338" spans="1:42" ht="14.5" x14ac:dyDescent="0.35">
      <c r="A338" s="1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</row>
    <row r="339" spans="1:42" ht="14.5" x14ac:dyDescent="0.35">
      <c r="A339" s="1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</row>
    <row r="340" spans="1:42" ht="14.5" x14ac:dyDescent="0.35">
      <c r="A340" s="1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</row>
    <row r="341" spans="1:42" ht="14.5" x14ac:dyDescent="0.35">
      <c r="A341" s="1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</row>
    <row r="342" spans="1:42" ht="14.5" x14ac:dyDescent="0.35">
      <c r="A342" s="1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</row>
    <row r="343" spans="1:42" ht="14.5" x14ac:dyDescent="0.35">
      <c r="A343" s="1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</row>
    <row r="344" spans="1:42" ht="14.5" x14ac:dyDescent="0.35">
      <c r="A344" s="1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</row>
    <row r="345" spans="1:42" ht="14.5" x14ac:dyDescent="0.35">
      <c r="A345" s="1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</row>
    <row r="346" spans="1:42" ht="14.5" x14ac:dyDescent="0.35">
      <c r="A346" s="1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</row>
    <row r="347" spans="1:42" ht="14.5" x14ac:dyDescent="0.35">
      <c r="A347" s="1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</row>
    <row r="348" spans="1:42" ht="14.5" x14ac:dyDescent="0.35">
      <c r="A348" s="1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</row>
    <row r="349" spans="1:42" ht="14.5" x14ac:dyDescent="0.35">
      <c r="A349" s="1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</row>
    <row r="350" spans="1:42" ht="14.5" x14ac:dyDescent="0.35">
      <c r="A350" s="1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</row>
    <row r="351" spans="1:42" ht="14.5" x14ac:dyDescent="0.35">
      <c r="A351" s="1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</row>
    <row r="352" spans="1:42" ht="14.5" x14ac:dyDescent="0.35">
      <c r="A352" s="1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</row>
    <row r="353" spans="1:42" ht="14.5" x14ac:dyDescent="0.35">
      <c r="A353" s="1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</row>
    <row r="354" spans="1:42" ht="14.5" x14ac:dyDescent="0.35">
      <c r="A354" s="1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</row>
    <row r="355" spans="1:42" ht="14.5" x14ac:dyDescent="0.35">
      <c r="A355" s="1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</row>
    <row r="356" spans="1:42" ht="14.5" x14ac:dyDescent="0.35">
      <c r="A356" s="1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</row>
    <row r="357" spans="1:42" ht="14.5" x14ac:dyDescent="0.35">
      <c r="A357" s="1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</row>
    <row r="358" spans="1:42" ht="14.5" x14ac:dyDescent="0.35">
      <c r="A358" s="1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</row>
    <row r="359" spans="1:42" ht="14.5" x14ac:dyDescent="0.35">
      <c r="A359" s="1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</row>
    <row r="360" spans="1:42" ht="14.5" x14ac:dyDescent="0.35">
      <c r="A360" s="1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</row>
    <row r="361" spans="1:42" ht="14.5" x14ac:dyDescent="0.35">
      <c r="A361" s="1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</row>
    <row r="362" spans="1:42" ht="14.5" x14ac:dyDescent="0.35">
      <c r="A362" s="1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</row>
    <row r="363" spans="1:42" ht="14.5" x14ac:dyDescent="0.35">
      <c r="A363" s="1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</row>
    <row r="364" spans="1:42" ht="14.5" x14ac:dyDescent="0.35">
      <c r="A364" s="1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</row>
    <row r="365" spans="1:42" ht="14.5" x14ac:dyDescent="0.35">
      <c r="A365" s="1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</row>
    <row r="366" spans="1:42" ht="14.5" x14ac:dyDescent="0.35">
      <c r="A366" s="1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</row>
    <row r="367" spans="1:42" ht="14.5" x14ac:dyDescent="0.35">
      <c r="A367" s="1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</row>
    <row r="368" spans="1:42" ht="14.5" x14ac:dyDescent="0.35">
      <c r="A368" s="1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</row>
    <row r="369" spans="1:42" ht="14.5" x14ac:dyDescent="0.35">
      <c r="A369" s="1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</row>
    <row r="370" spans="1:42" ht="14.5" x14ac:dyDescent="0.35">
      <c r="A370" s="1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</row>
    <row r="371" spans="1:42" ht="14.5" x14ac:dyDescent="0.35">
      <c r="A371" s="1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</row>
    <row r="372" spans="1:42" ht="14.5" x14ac:dyDescent="0.35">
      <c r="A372" s="1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</row>
    <row r="373" spans="1:42" ht="14.5" x14ac:dyDescent="0.35">
      <c r="A373" s="1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</row>
    <row r="374" spans="1:42" ht="14.5" x14ac:dyDescent="0.35">
      <c r="A374" s="1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</row>
    <row r="375" spans="1:42" ht="14.5" x14ac:dyDescent="0.35">
      <c r="A375" s="1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</row>
    <row r="376" spans="1:42" ht="14.5" x14ac:dyDescent="0.35">
      <c r="A376" s="1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</row>
    <row r="377" spans="1:42" ht="14.5" x14ac:dyDescent="0.35">
      <c r="A377" s="1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</row>
    <row r="378" spans="1:42" ht="14.5" x14ac:dyDescent="0.35">
      <c r="A378" s="1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</row>
    <row r="379" spans="1:42" ht="14.5" x14ac:dyDescent="0.35">
      <c r="A379" s="1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</row>
    <row r="380" spans="1:42" ht="14.5" x14ac:dyDescent="0.35">
      <c r="A380" s="1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</row>
    <row r="381" spans="1:42" ht="14.5" x14ac:dyDescent="0.35">
      <c r="A381" s="1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</row>
    <row r="382" spans="1:42" ht="14.5" x14ac:dyDescent="0.35">
      <c r="A382" s="1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</row>
    <row r="383" spans="1:42" ht="14.5" x14ac:dyDescent="0.35">
      <c r="A383" s="1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</row>
    <row r="384" spans="1:42" ht="14.5" x14ac:dyDescent="0.35">
      <c r="A384" s="1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</row>
    <row r="385" spans="1:42" ht="14.5" x14ac:dyDescent="0.35">
      <c r="A385" s="1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</row>
    <row r="386" spans="1:42" ht="14.5" x14ac:dyDescent="0.35">
      <c r="A386" s="1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</row>
    <row r="387" spans="1:42" ht="14.5" x14ac:dyDescent="0.35">
      <c r="A387" s="1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</row>
    <row r="388" spans="1:42" ht="14.5" x14ac:dyDescent="0.35">
      <c r="A388" s="1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</row>
    <row r="389" spans="1:42" ht="14.5" x14ac:dyDescent="0.35">
      <c r="A389" s="1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</row>
    <row r="390" spans="1:42" ht="14.5" x14ac:dyDescent="0.35">
      <c r="A390" s="1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</row>
    <row r="391" spans="1:42" ht="14.5" x14ac:dyDescent="0.35">
      <c r="A391" s="1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</row>
    <row r="392" spans="1:42" ht="14.5" x14ac:dyDescent="0.35">
      <c r="A392" s="1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</row>
    <row r="393" spans="1:42" ht="14.5" x14ac:dyDescent="0.35">
      <c r="A393" s="1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</row>
    <row r="394" spans="1:42" ht="14.5" x14ac:dyDescent="0.35">
      <c r="A394" s="1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</row>
    <row r="395" spans="1:42" ht="14.5" x14ac:dyDescent="0.35">
      <c r="A395" s="1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</row>
    <row r="396" spans="1:42" ht="14.5" x14ac:dyDescent="0.35">
      <c r="A396" s="1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</row>
    <row r="397" spans="1:42" ht="14.5" x14ac:dyDescent="0.35">
      <c r="A397" s="1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</row>
    <row r="398" spans="1:42" ht="14.5" x14ac:dyDescent="0.35">
      <c r="A398" s="1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</row>
    <row r="399" spans="1:42" ht="14.5" x14ac:dyDescent="0.35">
      <c r="A399" s="1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</row>
    <row r="400" spans="1:42" ht="14.5" x14ac:dyDescent="0.35">
      <c r="A400" s="1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</row>
    <row r="401" spans="1:42" ht="14.5" x14ac:dyDescent="0.35">
      <c r="A401" s="1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</row>
    <row r="402" spans="1:42" ht="14.5" x14ac:dyDescent="0.35">
      <c r="A402" s="1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</row>
    <row r="403" spans="1:42" ht="14.5" x14ac:dyDescent="0.35">
      <c r="A403" s="1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</row>
    <row r="404" spans="1:42" ht="14.5" x14ac:dyDescent="0.35">
      <c r="A404" s="1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</row>
    <row r="405" spans="1:42" ht="14.5" x14ac:dyDescent="0.35">
      <c r="A405" s="1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</row>
    <row r="406" spans="1:42" ht="14.5" x14ac:dyDescent="0.35">
      <c r="A406" s="1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</row>
    <row r="407" spans="1:42" ht="14.5" x14ac:dyDescent="0.35">
      <c r="A407" s="1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</row>
    <row r="408" spans="1:42" ht="14.5" x14ac:dyDescent="0.35">
      <c r="A408" s="1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</row>
    <row r="409" spans="1:42" ht="14.5" x14ac:dyDescent="0.35">
      <c r="A409" s="1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</row>
    <row r="410" spans="1:42" ht="14.5" x14ac:dyDescent="0.35">
      <c r="A410" s="1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</row>
    <row r="411" spans="1:42" ht="14.5" x14ac:dyDescent="0.35">
      <c r="A411" s="1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</row>
    <row r="412" spans="1:42" ht="14.5" x14ac:dyDescent="0.35">
      <c r="A412" s="1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</row>
    <row r="413" spans="1:42" ht="14.5" x14ac:dyDescent="0.35">
      <c r="A413" s="1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</row>
    <row r="414" spans="1:42" ht="14.5" x14ac:dyDescent="0.35">
      <c r="A414" s="1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</row>
    <row r="415" spans="1:42" ht="14.5" x14ac:dyDescent="0.35">
      <c r="A415" s="1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</row>
    <row r="416" spans="1:42" ht="14.5" x14ac:dyDescent="0.35">
      <c r="A416" s="1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</row>
    <row r="417" spans="1:42" ht="14.5" x14ac:dyDescent="0.35">
      <c r="A417" s="1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</row>
    <row r="418" spans="1:42" ht="14.5" x14ac:dyDescent="0.35">
      <c r="A418" s="1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</row>
    <row r="419" spans="1:42" ht="14.5" x14ac:dyDescent="0.35">
      <c r="A419" s="1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</row>
    <row r="420" spans="1:42" ht="14.5" x14ac:dyDescent="0.35">
      <c r="A420" s="1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</row>
    <row r="421" spans="1:42" ht="14.5" x14ac:dyDescent="0.35">
      <c r="A421" s="1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</row>
    <row r="422" spans="1:42" ht="14.5" x14ac:dyDescent="0.35">
      <c r="A422" s="1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</row>
    <row r="423" spans="1:42" ht="14.5" x14ac:dyDescent="0.35">
      <c r="A423" s="1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</row>
    <row r="424" spans="1:42" ht="14.5" x14ac:dyDescent="0.35">
      <c r="A424" s="1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</row>
    <row r="425" spans="1:42" ht="14.5" x14ac:dyDescent="0.35">
      <c r="A425" s="1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</row>
    <row r="426" spans="1:42" ht="14.5" x14ac:dyDescent="0.35">
      <c r="A426" s="1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</row>
    <row r="427" spans="1:42" ht="14.5" x14ac:dyDescent="0.35">
      <c r="A427" s="1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</row>
    <row r="428" spans="1:42" ht="14.5" x14ac:dyDescent="0.35">
      <c r="A428" s="1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</row>
    <row r="429" spans="1:42" ht="14.5" x14ac:dyDescent="0.35">
      <c r="A429" s="1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</row>
    <row r="430" spans="1:42" ht="14.5" x14ac:dyDescent="0.35">
      <c r="A430" s="1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</row>
    <row r="431" spans="1:42" ht="14.5" x14ac:dyDescent="0.35">
      <c r="A431" s="1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</row>
    <row r="432" spans="1:42" ht="14.5" x14ac:dyDescent="0.35">
      <c r="A432" s="1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</row>
    <row r="433" spans="1:42" ht="14.5" x14ac:dyDescent="0.35">
      <c r="A433" s="1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</row>
    <row r="434" spans="1:42" ht="14.5" x14ac:dyDescent="0.35">
      <c r="A434" s="1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</row>
    <row r="435" spans="1:42" ht="14.5" x14ac:dyDescent="0.35">
      <c r="A435" s="1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</row>
    <row r="436" spans="1:42" ht="14.5" x14ac:dyDescent="0.35">
      <c r="A436" s="1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</row>
    <row r="437" spans="1:42" ht="14.5" x14ac:dyDescent="0.35">
      <c r="A437" s="1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</row>
    <row r="438" spans="1:42" ht="14.5" x14ac:dyDescent="0.35">
      <c r="A438" s="1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</row>
    <row r="439" spans="1:42" ht="14.5" x14ac:dyDescent="0.35">
      <c r="A439" s="1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</row>
    <row r="440" spans="1:42" ht="14.5" x14ac:dyDescent="0.35">
      <c r="A440" s="1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</row>
    <row r="441" spans="1:42" ht="14.5" x14ac:dyDescent="0.35">
      <c r="A441" s="1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</row>
    <row r="442" spans="1:42" ht="14.5" x14ac:dyDescent="0.35">
      <c r="A442" s="1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</row>
    <row r="443" spans="1:42" ht="14.5" x14ac:dyDescent="0.35">
      <c r="A443" s="1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</row>
    <row r="444" spans="1:42" ht="14.5" x14ac:dyDescent="0.35">
      <c r="A444" s="1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</row>
    <row r="445" spans="1:42" ht="14.5" x14ac:dyDescent="0.35">
      <c r="A445" s="1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</row>
    <row r="446" spans="1:42" ht="14.5" x14ac:dyDescent="0.35">
      <c r="A446" s="1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</row>
    <row r="447" spans="1:42" ht="14.5" x14ac:dyDescent="0.35">
      <c r="A447" s="1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</row>
    <row r="448" spans="1:42" ht="14.5" x14ac:dyDescent="0.35">
      <c r="A448" s="1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</row>
    <row r="449" spans="1:42" ht="14.5" x14ac:dyDescent="0.35">
      <c r="A449" s="1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</row>
    <row r="450" spans="1:42" ht="14.5" x14ac:dyDescent="0.35">
      <c r="A450" s="1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</row>
    <row r="451" spans="1:42" ht="14.5" x14ac:dyDescent="0.35">
      <c r="A451" s="1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</row>
    <row r="452" spans="1:42" ht="14.5" x14ac:dyDescent="0.35">
      <c r="A452" s="1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</row>
    <row r="453" spans="1:42" ht="14.5" x14ac:dyDescent="0.35">
      <c r="A453" s="1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</row>
    <row r="454" spans="1:42" ht="14.5" x14ac:dyDescent="0.35">
      <c r="A454" s="1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</row>
    <row r="455" spans="1:42" ht="14.5" x14ac:dyDescent="0.35">
      <c r="A455" s="1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</row>
    <row r="456" spans="1:42" ht="14.5" x14ac:dyDescent="0.35">
      <c r="A456" s="1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</row>
    <row r="457" spans="1:42" ht="14.5" x14ac:dyDescent="0.35">
      <c r="A457" s="1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</row>
    <row r="458" spans="1:42" ht="14.5" x14ac:dyDescent="0.35">
      <c r="A458" s="1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</row>
    <row r="459" spans="1:42" ht="14.5" x14ac:dyDescent="0.35">
      <c r="A459" s="1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</row>
    <row r="460" spans="1:42" ht="14.5" x14ac:dyDescent="0.35">
      <c r="A460" s="1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</row>
    <row r="461" spans="1:42" ht="14.5" x14ac:dyDescent="0.35">
      <c r="A461" s="1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</row>
    <row r="462" spans="1:42" ht="14.5" x14ac:dyDescent="0.35">
      <c r="A462" s="1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</row>
    <row r="463" spans="1:42" ht="14.5" x14ac:dyDescent="0.35">
      <c r="A463" s="1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</row>
    <row r="464" spans="1:42" ht="14.5" x14ac:dyDescent="0.35">
      <c r="A464" s="1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</row>
    <row r="465" spans="1:42" ht="14.5" x14ac:dyDescent="0.35">
      <c r="A465" s="1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</row>
    <row r="466" spans="1:42" ht="14.5" x14ac:dyDescent="0.35">
      <c r="A466" s="1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</row>
    <row r="467" spans="1:42" ht="14.5" x14ac:dyDescent="0.35">
      <c r="A467" s="1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</row>
    <row r="468" spans="1:42" ht="14.5" x14ac:dyDescent="0.35">
      <c r="A468" s="1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</row>
    <row r="469" spans="1:42" ht="14.5" x14ac:dyDescent="0.35">
      <c r="A469" s="1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</row>
    <row r="470" spans="1:42" ht="14.5" x14ac:dyDescent="0.35">
      <c r="A470" s="1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</row>
    <row r="471" spans="1:42" ht="14.5" x14ac:dyDescent="0.35">
      <c r="A471" s="1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</row>
    <row r="472" spans="1:42" ht="14.5" x14ac:dyDescent="0.35">
      <c r="A472" s="1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</row>
    <row r="473" spans="1:42" ht="14.5" x14ac:dyDescent="0.35">
      <c r="A473" s="1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</row>
    <row r="474" spans="1:42" ht="14.5" x14ac:dyDescent="0.35">
      <c r="A474" s="1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</row>
    <row r="475" spans="1:42" ht="14.5" x14ac:dyDescent="0.35">
      <c r="A475" s="1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</row>
    <row r="476" spans="1:42" ht="14.5" x14ac:dyDescent="0.35">
      <c r="A476" s="1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</row>
    <row r="477" spans="1:42" ht="14.5" x14ac:dyDescent="0.35">
      <c r="A477" s="1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</row>
    <row r="478" spans="1:42" ht="14.5" x14ac:dyDescent="0.35">
      <c r="A478" s="1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</row>
    <row r="479" spans="1:42" ht="14.5" x14ac:dyDescent="0.35">
      <c r="A479" s="1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</row>
    <row r="480" spans="1:42" ht="14.5" x14ac:dyDescent="0.35">
      <c r="A480" s="1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</row>
    <row r="481" spans="1:42" ht="14.5" x14ac:dyDescent="0.35">
      <c r="A481" s="1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</row>
    <row r="482" spans="1:42" ht="14.5" x14ac:dyDescent="0.35">
      <c r="A482" s="1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</row>
    <row r="483" spans="1:42" ht="14.5" x14ac:dyDescent="0.35">
      <c r="A483" s="1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</row>
    <row r="484" spans="1:42" ht="14.5" x14ac:dyDescent="0.35">
      <c r="A484" s="1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</row>
    <row r="485" spans="1:42" ht="14.5" x14ac:dyDescent="0.35">
      <c r="A485" s="1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</row>
    <row r="486" spans="1:42" ht="14.5" x14ac:dyDescent="0.35">
      <c r="A486" s="1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</row>
    <row r="487" spans="1:42" ht="14.5" x14ac:dyDescent="0.35">
      <c r="A487" s="1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</row>
    <row r="488" spans="1:42" ht="14.5" x14ac:dyDescent="0.35">
      <c r="A488" s="1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</row>
    <row r="489" spans="1:42" ht="14.5" x14ac:dyDescent="0.35">
      <c r="A489" s="1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</row>
    <row r="490" spans="1:42" ht="14.5" x14ac:dyDescent="0.35">
      <c r="A490" s="1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</row>
    <row r="491" spans="1:42" ht="14.5" x14ac:dyDescent="0.35">
      <c r="A491" s="1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</row>
    <row r="492" spans="1:42" ht="14.5" x14ac:dyDescent="0.35">
      <c r="A492" s="1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</row>
    <row r="493" spans="1:42" ht="14.5" x14ac:dyDescent="0.35">
      <c r="A493" s="1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</row>
    <row r="494" spans="1:42" ht="14.5" x14ac:dyDescent="0.35">
      <c r="A494" s="1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</row>
    <row r="495" spans="1:42" ht="14.5" x14ac:dyDescent="0.35">
      <c r="A495" s="1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</row>
    <row r="496" spans="1:42" ht="14.5" x14ac:dyDescent="0.35">
      <c r="A496" s="1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</row>
    <row r="497" spans="1:42" ht="14.5" x14ac:dyDescent="0.35">
      <c r="A497" s="1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</row>
    <row r="498" spans="1:42" ht="14.5" x14ac:dyDescent="0.35">
      <c r="A498" s="1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</row>
    <row r="499" spans="1:42" ht="14.5" x14ac:dyDescent="0.35">
      <c r="A499" s="1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</row>
    <row r="500" spans="1:42" ht="14.5" x14ac:dyDescent="0.35">
      <c r="A500" s="1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</row>
    <row r="501" spans="1:42" ht="14.5" x14ac:dyDescent="0.35">
      <c r="A501" s="1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</row>
    <row r="502" spans="1:42" ht="14.5" x14ac:dyDescent="0.35">
      <c r="A502" s="1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</row>
    <row r="503" spans="1:42" ht="14.5" x14ac:dyDescent="0.35">
      <c r="A503" s="1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</row>
    <row r="504" spans="1:42" ht="14.5" x14ac:dyDescent="0.35">
      <c r="A504" s="1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</row>
    <row r="505" spans="1:42" ht="14.5" x14ac:dyDescent="0.35">
      <c r="A505" s="1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</row>
    <row r="506" spans="1:42" ht="14.5" x14ac:dyDescent="0.35">
      <c r="A506" s="1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</row>
    <row r="507" spans="1:42" ht="14.5" x14ac:dyDescent="0.35">
      <c r="A507" s="1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</row>
    <row r="508" spans="1:42" ht="14.5" x14ac:dyDescent="0.35">
      <c r="A508" s="1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</row>
    <row r="509" spans="1:42" ht="14.5" x14ac:dyDescent="0.35">
      <c r="A509" s="1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</row>
    <row r="510" spans="1:42" ht="14.5" x14ac:dyDescent="0.35">
      <c r="A510" s="1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</row>
    <row r="511" spans="1:42" ht="14.5" x14ac:dyDescent="0.35">
      <c r="A511" s="1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</row>
    <row r="512" spans="1:42" ht="14.5" x14ac:dyDescent="0.35">
      <c r="A512" s="1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</row>
    <row r="513" spans="1:42" ht="14.5" x14ac:dyDescent="0.35">
      <c r="A513" s="1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</row>
    <row r="514" spans="1:42" ht="14.5" x14ac:dyDescent="0.35">
      <c r="A514" s="1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</row>
    <row r="515" spans="1:42" ht="14.5" x14ac:dyDescent="0.35">
      <c r="A515" s="1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</row>
    <row r="516" spans="1:42" ht="14.5" x14ac:dyDescent="0.35">
      <c r="A516" s="1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</row>
    <row r="517" spans="1:42" ht="14.5" x14ac:dyDescent="0.35">
      <c r="A517" s="1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</row>
    <row r="518" spans="1:42" ht="14.5" x14ac:dyDescent="0.35">
      <c r="A518" s="1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</row>
    <row r="519" spans="1:42" ht="14.5" x14ac:dyDescent="0.35">
      <c r="A519" s="1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</row>
    <row r="520" spans="1:42" ht="14.5" x14ac:dyDescent="0.35">
      <c r="A520" s="1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</row>
    <row r="521" spans="1:42" ht="14.5" x14ac:dyDescent="0.35">
      <c r="A521" s="1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</row>
    <row r="522" spans="1:42" ht="14.5" x14ac:dyDescent="0.35">
      <c r="A522" s="1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</row>
    <row r="523" spans="1:42" ht="14.5" x14ac:dyDescent="0.35">
      <c r="A523" s="1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</row>
    <row r="524" spans="1:42" ht="14.5" x14ac:dyDescent="0.35">
      <c r="A524" s="1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</row>
    <row r="525" spans="1:42" ht="14.5" x14ac:dyDescent="0.35">
      <c r="A525" s="1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</row>
    <row r="526" spans="1:42" ht="14.5" x14ac:dyDescent="0.35">
      <c r="A526" s="1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</row>
    <row r="527" spans="1:42" ht="14.5" x14ac:dyDescent="0.35">
      <c r="A527" s="1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</row>
    <row r="528" spans="1:42" ht="14.5" x14ac:dyDescent="0.35">
      <c r="A528" s="1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</row>
    <row r="529" spans="1:42" ht="14.5" x14ac:dyDescent="0.35">
      <c r="A529" s="1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</row>
    <row r="530" spans="1:42" ht="14.5" x14ac:dyDescent="0.35">
      <c r="A530" s="1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</row>
    <row r="531" spans="1:42" ht="14.5" x14ac:dyDescent="0.35">
      <c r="A531" s="1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</row>
    <row r="532" spans="1:42" ht="14.5" x14ac:dyDescent="0.35">
      <c r="A532" s="1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</row>
    <row r="533" spans="1:42" ht="14.5" x14ac:dyDescent="0.35">
      <c r="A533" s="1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</row>
    <row r="534" spans="1:42" ht="14.5" x14ac:dyDescent="0.35">
      <c r="A534" s="1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</row>
    <row r="535" spans="1:42" ht="14.5" x14ac:dyDescent="0.35">
      <c r="A535" s="1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</row>
    <row r="536" spans="1:42" ht="14.5" x14ac:dyDescent="0.35">
      <c r="A536" s="1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</row>
    <row r="537" spans="1:42" ht="14.5" x14ac:dyDescent="0.35">
      <c r="A537" s="1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</row>
    <row r="538" spans="1:42" ht="14.5" x14ac:dyDescent="0.35">
      <c r="A538" s="1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</row>
    <row r="539" spans="1:42" ht="14.5" x14ac:dyDescent="0.35">
      <c r="A539" s="1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</row>
    <row r="540" spans="1:42" ht="14.5" x14ac:dyDescent="0.35">
      <c r="A540" s="1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</row>
    <row r="541" spans="1:42" ht="14.5" x14ac:dyDescent="0.35">
      <c r="A541" s="1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</row>
    <row r="542" spans="1:42" ht="14.5" x14ac:dyDescent="0.35">
      <c r="A542" s="1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</row>
    <row r="543" spans="1:42" ht="14.5" x14ac:dyDescent="0.35">
      <c r="A543" s="1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</row>
    <row r="544" spans="1:42" ht="14.5" x14ac:dyDescent="0.35">
      <c r="A544" s="1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</row>
    <row r="545" spans="1:42" ht="14.5" x14ac:dyDescent="0.35">
      <c r="A545" s="1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</row>
    <row r="546" spans="1:42" ht="14.5" x14ac:dyDescent="0.35">
      <c r="A546" s="1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</row>
    <row r="547" spans="1:42" ht="14.5" x14ac:dyDescent="0.35">
      <c r="A547" s="1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</row>
    <row r="548" spans="1:42" ht="14.5" x14ac:dyDescent="0.35">
      <c r="A548" s="1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</row>
    <row r="549" spans="1:42" ht="14.5" x14ac:dyDescent="0.35">
      <c r="A549" s="1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</row>
    <row r="550" spans="1:42" ht="14.5" x14ac:dyDescent="0.35">
      <c r="A550" s="1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</row>
    <row r="551" spans="1:42" ht="14.5" x14ac:dyDescent="0.35">
      <c r="A551" s="1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</row>
    <row r="552" spans="1:42" ht="14.5" x14ac:dyDescent="0.35">
      <c r="A552" s="1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</row>
    <row r="553" spans="1:42" ht="14.5" x14ac:dyDescent="0.35">
      <c r="A553" s="1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</row>
    <row r="554" spans="1:42" ht="14.5" x14ac:dyDescent="0.35">
      <c r="A554" s="1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</row>
    <row r="555" spans="1:42" ht="14.5" x14ac:dyDescent="0.35">
      <c r="A555" s="1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</row>
    <row r="556" spans="1:42" ht="14.5" x14ac:dyDescent="0.35">
      <c r="A556" s="1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</row>
    <row r="557" spans="1:42" ht="14.5" x14ac:dyDescent="0.35">
      <c r="A557" s="1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</row>
    <row r="558" spans="1:42" ht="14.5" x14ac:dyDescent="0.35">
      <c r="A558" s="1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</row>
    <row r="559" spans="1:42" ht="14.5" x14ac:dyDescent="0.35">
      <c r="A559" s="1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</row>
    <row r="560" spans="1:42" ht="14.5" x14ac:dyDescent="0.35">
      <c r="A560" s="1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</row>
    <row r="561" spans="1:42" ht="14.5" x14ac:dyDescent="0.35">
      <c r="A561" s="1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</row>
    <row r="562" spans="1:42" ht="14.5" x14ac:dyDescent="0.35">
      <c r="A562" s="1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</row>
    <row r="563" spans="1:42" ht="14.5" x14ac:dyDescent="0.35">
      <c r="A563" s="1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</row>
    <row r="564" spans="1:42" ht="14.5" x14ac:dyDescent="0.35">
      <c r="A564" s="1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</row>
    <row r="565" spans="1:42" ht="14.5" x14ac:dyDescent="0.35">
      <c r="A565" s="1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</row>
    <row r="566" spans="1:42" ht="14.5" x14ac:dyDescent="0.35">
      <c r="A566" s="1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</row>
    <row r="567" spans="1:42" ht="14.5" x14ac:dyDescent="0.35">
      <c r="A567" s="1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</row>
    <row r="568" spans="1:42" ht="14.5" x14ac:dyDescent="0.35">
      <c r="A568" s="1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</row>
    <row r="569" spans="1:42" ht="14.5" x14ac:dyDescent="0.35">
      <c r="A569" s="1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</row>
    <row r="570" spans="1:42" ht="14.5" x14ac:dyDescent="0.35">
      <c r="A570" s="1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</row>
    <row r="571" spans="1:42" ht="14.5" x14ac:dyDescent="0.35">
      <c r="A571" s="1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</row>
    <row r="572" spans="1:42" ht="14.5" x14ac:dyDescent="0.35">
      <c r="A572" s="1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</row>
    <row r="573" spans="1:42" ht="14.5" x14ac:dyDescent="0.35">
      <c r="A573" s="1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</row>
    <row r="574" spans="1:42" ht="14.5" x14ac:dyDescent="0.35">
      <c r="A574" s="1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</row>
    <row r="575" spans="1:42" ht="14.5" x14ac:dyDescent="0.35">
      <c r="A575" s="1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</row>
    <row r="576" spans="1:42" ht="14.5" x14ac:dyDescent="0.35">
      <c r="A576" s="1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</row>
    <row r="577" spans="1:42" ht="14.5" x14ac:dyDescent="0.35">
      <c r="A577" s="1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</row>
    <row r="578" spans="1:42" ht="14.5" x14ac:dyDescent="0.35">
      <c r="A578" s="1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</row>
    <row r="579" spans="1:42" ht="14.5" x14ac:dyDescent="0.35">
      <c r="A579" s="1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</row>
    <row r="580" spans="1:42" ht="14.5" x14ac:dyDescent="0.35">
      <c r="A580" s="1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</row>
    <row r="581" spans="1:42" ht="14.5" x14ac:dyDescent="0.35">
      <c r="A581" s="1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</row>
    <row r="582" spans="1:42" ht="14.5" x14ac:dyDescent="0.35">
      <c r="A582" s="1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</row>
    <row r="583" spans="1:42" ht="14.5" x14ac:dyDescent="0.35">
      <c r="A583" s="1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</row>
    <row r="584" spans="1:42" ht="14.5" x14ac:dyDescent="0.35">
      <c r="A584" s="1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</row>
    <row r="585" spans="1:42" ht="14.5" x14ac:dyDescent="0.35">
      <c r="A585" s="1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</row>
    <row r="586" spans="1:42" ht="14.5" x14ac:dyDescent="0.35">
      <c r="A586" s="1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</row>
    <row r="587" spans="1:42" ht="14.5" x14ac:dyDescent="0.35">
      <c r="A587" s="1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</row>
    <row r="588" spans="1:42" ht="14.5" x14ac:dyDescent="0.35">
      <c r="A588" s="1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</row>
    <row r="589" spans="1:42" ht="14.5" x14ac:dyDescent="0.35">
      <c r="A589" s="1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</row>
    <row r="590" spans="1:42" ht="14.5" x14ac:dyDescent="0.35">
      <c r="A590" s="1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</row>
    <row r="591" spans="1:42" ht="14.5" x14ac:dyDescent="0.35">
      <c r="A591" s="1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</row>
    <row r="592" spans="1:42" ht="14.5" x14ac:dyDescent="0.35">
      <c r="A592" s="1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</row>
    <row r="593" spans="1:42" ht="14.5" x14ac:dyDescent="0.35">
      <c r="A593" s="1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</row>
    <row r="594" spans="1:42" ht="14.5" x14ac:dyDescent="0.35">
      <c r="A594" s="1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</row>
    <row r="595" spans="1:42" ht="14.5" x14ac:dyDescent="0.35">
      <c r="A595" s="1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</row>
    <row r="596" spans="1:42" ht="14.5" x14ac:dyDescent="0.35">
      <c r="A596" s="1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</row>
    <row r="597" spans="1:42" ht="14.5" x14ac:dyDescent="0.35">
      <c r="A597" s="1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</row>
    <row r="598" spans="1:42" ht="14.5" x14ac:dyDescent="0.35">
      <c r="A598" s="1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</row>
    <row r="599" spans="1:42" ht="14.5" x14ac:dyDescent="0.35">
      <c r="A599" s="1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</row>
    <row r="600" spans="1:42" ht="14.5" x14ac:dyDescent="0.35">
      <c r="A600" s="1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</row>
    <row r="601" spans="1:42" ht="14.5" x14ac:dyDescent="0.35">
      <c r="A601" s="1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</row>
    <row r="602" spans="1:42" ht="14.5" x14ac:dyDescent="0.35">
      <c r="A602" s="1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</row>
    <row r="603" spans="1:42" ht="14.5" x14ac:dyDescent="0.35">
      <c r="A603" s="1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</row>
    <row r="604" spans="1:42" ht="14.5" x14ac:dyDescent="0.35">
      <c r="A604" s="1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</row>
    <row r="605" spans="1:42" ht="14.5" x14ac:dyDescent="0.35">
      <c r="A605" s="1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</row>
    <row r="606" spans="1:42" ht="14.5" x14ac:dyDescent="0.35">
      <c r="A606" s="1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</row>
    <row r="607" spans="1:42" ht="14.5" x14ac:dyDescent="0.35">
      <c r="A607" s="1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</row>
    <row r="608" spans="1:42" ht="14.5" x14ac:dyDescent="0.35">
      <c r="A608" s="1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</row>
    <row r="609" spans="1:42" ht="14.5" x14ac:dyDescent="0.35">
      <c r="A609" s="1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</row>
    <row r="610" spans="1:42" ht="14.5" x14ac:dyDescent="0.35">
      <c r="A610" s="1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</row>
    <row r="611" spans="1:42" ht="14.5" x14ac:dyDescent="0.35">
      <c r="A611" s="1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</row>
    <row r="612" spans="1:42" ht="14.5" x14ac:dyDescent="0.35">
      <c r="A612" s="1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</row>
    <row r="613" spans="1:42" ht="14.5" x14ac:dyDescent="0.35">
      <c r="A613" s="1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</row>
    <row r="614" spans="1:42" ht="14.5" x14ac:dyDescent="0.35">
      <c r="A614" s="1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</row>
    <row r="615" spans="1:42" ht="14.5" x14ac:dyDescent="0.35">
      <c r="A615" s="1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</row>
    <row r="616" spans="1:42" ht="14.5" x14ac:dyDescent="0.35">
      <c r="A616" s="1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</row>
    <row r="617" spans="1:42" ht="14.5" x14ac:dyDescent="0.35">
      <c r="A617" s="1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</row>
    <row r="618" spans="1:42" ht="14.5" x14ac:dyDescent="0.35">
      <c r="A618" s="1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</row>
    <row r="619" spans="1:42" ht="14.5" x14ac:dyDescent="0.35">
      <c r="A619" s="1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</row>
    <row r="620" spans="1:42" ht="14.5" x14ac:dyDescent="0.35">
      <c r="A620" s="1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</row>
    <row r="621" spans="1:42" ht="14.5" x14ac:dyDescent="0.35">
      <c r="A621" s="1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</row>
    <row r="622" spans="1:42" ht="14.5" x14ac:dyDescent="0.35">
      <c r="A622" s="1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</row>
    <row r="623" spans="1:42" ht="14.5" x14ac:dyDescent="0.35">
      <c r="A623" s="1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</row>
    <row r="624" spans="1:42" ht="14.5" x14ac:dyDescent="0.35">
      <c r="A624" s="1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</row>
    <row r="625" spans="1:42" ht="14.5" x14ac:dyDescent="0.35">
      <c r="A625" s="1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</row>
    <row r="626" spans="1:42" ht="14.5" x14ac:dyDescent="0.35">
      <c r="A626" s="1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</row>
    <row r="627" spans="1:42" ht="14.5" x14ac:dyDescent="0.35">
      <c r="A627" s="1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</row>
    <row r="628" spans="1:42" ht="14.5" x14ac:dyDescent="0.35">
      <c r="A628" s="1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</row>
    <row r="629" spans="1:42" ht="14.5" x14ac:dyDescent="0.35">
      <c r="A629" s="1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</row>
    <row r="630" spans="1:42" ht="14.5" x14ac:dyDescent="0.35">
      <c r="A630" s="1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</row>
    <row r="631" spans="1:42" ht="14.5" x14ac:dyDescent="0.35">
      <c r="A631" s="1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</row>
    <row r="632" spans="1:42" ht="14.5" x14ac:dyDescent="0.35">
      <c r="A632" s="1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</row>
    <row r="633" spans="1:42" ht="14.5" x14ac:dyDescent="0.35">
      <c r="A633" s="1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</row>
    <row r="634" spans="1:42" ht="14.5" x14ac:dyDescent="0.35">
      <c r="A634" s="1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</row>
    <row r="635" spans="1:42" ht="14.5" x14ac:dyDescent="0.35">
      <c r="A635" s="1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</row>
    <row r="636" spans="1:42" ht="14.5" x14ac:dyDescent="0.35">
      <c r="A636" s="1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</row>
    <row r="637" spans="1:42" ht="14.5" x14ac:dyDescent="0.35">
      <c r="A637" s="1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</row>
    <row r="638" spans="1:42" ht="14.5" x14ac:dyDescent="0.35">
      <c r="A638" s="1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</row>
    <row r="639" spans="1:42" ht="14.5" x14ac:dyDescent="0.35">
      <c r="A639" s="1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</row>
    <row r="640" spans="1:42" ht="14.5" x14ac:dyDescent="0.35">
      <c r="A640" s="1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</row>
    <row r="641" spans="1:42" ht="14.5" x14ac:dyDescent="0.35">
      <c r="A641" s="1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</row>
    <row r="642" spans="1:42" ht="14.5" x14ac:dyDescent="0.35">
      <c r="A642" s="1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</row>
    <row r="643" spans="1:42" ht="14.5" x14ac:dyDescent="0.35">
      <c r="A643" s="1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</row>
    <row r="644" spans="1:42" ht="14.5" x14ac:dyDescent="0.35">
      <c r="A644" s="1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</row>
    <row r="645" spans="1:42" ht="14.5" x14ac:dyDescent="0.35">
      <c r="A645" s="1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</row>
    <row r="646" spans="1:42" ht="14.5" x14ac:dyDescent="0.35">
      <c r="A646" s="1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</row>
    <row r="647" spans="1:42" ht="14.5" x14ac:dyDescent="0.35">
      <c r="A647" s="1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</row>
    <row r="648" spans="1:42" ht="14.5" x14ac:dyDescent="0.35">
      <c r="A648" s="1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</row>
    <row r="649" spans="1:42" ht="14.5" x14ac:dyDescent="0.35">
      <c r="A649" s="1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</row>
    <row r="650" spans="1:42" ht="14.5" x14ac:dyDescent="0.35">
      <c r="A650" s="1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</row>
    <row r="651" spans="1:42" ht="14.5" x14ac:dyDescent="0.35">
      <c r="A651" s="1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</row>
    <row r="652" spans="1:42" ht="14.5" x14ac:dyDescent="0.35">
      <c r="A652" s="1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</row>
    <row r="653" spans="1:42" ht="14.5" x14ac:dyDescent="0.35">
      <c r="A653" s="1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</row>
    <row r="654" spans="1:42" ht="14.5" x14ac:dyDescent="0.35">
      <c r="A654" s="1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</row>
    <row r="655" spans="1:42" ht="14.5" x14ac:dyDescent="0.35">
      <c r="A655" s="1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</row>
    <row r="656" spans="1:42" ht="14.5" x14ac:dyDescent="0.35">
      <c r="A656" s="1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</row>
    <row r="657" spans="1:42" ht="14.5" x14ac:dyDescent="0.35">
      <c r="A657" s="1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</row>
    <row r="658" spans="1:42" ht="14.5" x14ac:dyDescent="0.35">
      <c r="A658" s="1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</row>
    <row r="659" spans="1:42" ht="14.5" x14ac:dyDescent="0.35">
      <c r="A659" s="1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</row>
    <row r="660" spans="1:42" ht="14.5" x14ac:dyDescent="0.35">
      <c r="A660" s="1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</row>
    <row r="661" spans="1:42" ht="14.5" x14ac:dyDescent="0.35">
      <c r="A661" s="1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</row>
    <row r="662" spans="1:42" ht="14.5" x14ac:dyDescent="0.35">
      <c r="A662" s="1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</row>
    <row r="663" spans="1:42" ht="14.5" x14ac:dyDescent="0.35">
      <c r="A663" s="1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</row>
    <row r="664" spans="1:42" ht="14.5" x14ac:dyDescent="0.35">
      <c r="A664" s="1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</row>
    <row r="665" spans="1:42" ht="14.5" x14ac:dyDescent="0.35">
      <c r="A665" s="1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</row>
    <row r="666" spans="1:42" ht="14.5" x14ac:dyDescent="0.35">
      <c r="A666" s="1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</row>
    <row r="667" spans="1:42" ht="14.5" x14ac:dyDescent="0.35">
      <c r="A667" s="1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</row>
    <row r="668" spans="1:42" ht="14.5" x14ac:dyDescent="0.35">
      <c r="A668" s="1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</row>
    <row r="669" spans="1:42" ht="14.5" x14ac:dyDescent="0.35">
      <c r="A669" s="1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</row>
    <row r="670" spans="1:42" ht="14.5" x14ac:dyDescent="0.35">
      <c r="A670" s="1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</row>
    <row r="671" spans="1:42" ht="14.5" x14ac:dyDescent="0.35">
      <c r="A671" s="1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</row>
    <row r="672" spans="1:42" ht="14.5" x14ac:dyDescent="0.35">
      <c r="A672" s="1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</row>
    <row r="673" spans="1:42" ht="14.5" x14ac:dyDescent="0.35">
      <c r="A673" s="1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</row>
    <row r="674" spans="1:42" ht="14.5" x14ac:dyDescent="0.35">
      <c r="A674" s="1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</row>
    <row r="675" spans="1:42" ht="14.5" x14ac:dyDescent="0.35">
      <c r="A675" s="1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</row>
    <row r="676" spans="1:42" ht="14.5" x14ac:dyDescent="0.35">
      <c r="A676" s="1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</row>
    <row r="677" spans="1:42" ht="14.5" x14ac:dyDescent="0.35">
      <c r="A677" s="1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</row>
    <row r="678" spans="1:42" ht="14.5" x14ac:dyDescent="0.35">
      <c r="A678" s="1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</row>
    <row r="679" spans="1:42" ht="14.5" x14ac:dyDescent="0.35">
      <c r="A679" s="1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</row>
    <row r="680" spans="1:42" ht="14.5" x14ac:dyDescent="0.35">
      <c r="A680" s="1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</row>
    <row r="681" spans="1:42" ht="14.5" x14ac:dyDescent="0.35">
      <c r="A681" s="1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</row>
    <row r="682" spans="1:42" ht="14.5" x14ac:dyDescent="0.35">
      <c r="A682" s="1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</row>
    <row r="683" spans="1:42" ht="14.5" x14ac:dyDescent="0.35">
      <c r="A683" s="1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</row>
    <row r="684" spans="1:42" ht="14.5" x14ac:dyDescent="0.35">
      <c r="A684" s="1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</row>
    <row r="685" spans="1:42" ht="14.5" x14ac:dyDescent="0.35">
      <c r="A685" s="1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</row>
    <row r="686" spans="1:42" ht="14.5" x14ac:dyDescent="0.35">
      <c r="A686" s="1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</row>
    <row r="687" spans="1:42" ht="14.5" x14ac:dyDescent="0.35">
      <c r="A687" s="1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</row>
    <row r="688" spans="1:42" ht="14.5" x14ac:dyDescent="0.35">
      <c r="A688" s="1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</row>
    <row r="689" spans="1:42" ht="14.5" x14ac:dyDescent="0.35">
      <c r="A689" s="1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</row>
    <row r="690" spans="1:42" ht="14.5" x14ac:dyDescent="0.35">
      <c r="A690" s="1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</row>
    <row r="691" spans="1:42" ht="14.5" x14ac:dyDescent="0.35">
      <c r="A691" s="1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</row>
    <row r="692" spans="1:42" ht="14.5" x14ac:dyDescent="0.35">
      <c r="A692" s="1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</row>
    <row r="693" spans="1:42" ht="14.5" x14ac:dyDescent="0.35">
      <c r="A693" s="1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</row>
    <row r="694" spans="1:42" ht="14.5" x14ac:dyDescent="0.35">
      <c r="A694" s="1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</row>
    <row r="695" spans="1:42" ht="14.5" x14ac:dyDescent="0.35">
      <c r="A695" s="1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</row>
    <row r="696" spans="1:42" ht="14.5" x14ac:dyDescent="0.35">
      <c r="A696" s="1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</row>
    <row r="697" spans="1:42" ht="14.5" x14ac:dyDescent="0.35">
      <c r="A697" s="1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</row>
    <row r="698" spans="1:42" ht="14.5" x14ac:dyDescent="0.35">
      <c r="A698" s="1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</row>
    <row r="699" spans="1:42" ht="14.5" x14ac:dyDescent="0.35">
      <c r="A699" s="1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</row>
    <row r="700" spans="1:42" ht="14.5" x14ac:dyDescent="0.35">
      <c r="A700" s="1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</row>
    <row r="701" spans="1:42" ht="14.5" x14ac:dyDescent="0.35">
      <c r="A701" s="1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</row>
    <row r="702" spans="1:42" ht="14.5" x14ac:dyDescent="0.35">
      <c r="A702" s="1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</row>
    <row r="703" spans="1:42" ht="14.5" x14ac:dyDescent="0.35">
      <c r="A703" s="1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</row>
    <row r="704" spans="1:42" ht="14.5" x14ac:dyDescent="0.35">
      <c r="A704" s="1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</row>
    <row r="705" spans="1:42" ht="14.5" x14ac:dyDescent="0.35">
      <c r="A705" s="1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</row>
    <row r="706" spans="1:42" ht="14.5" x14ac:dyDescent="0.35">
      <c r="A706" s="1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</row>
    <row r="707" spans="1:42" ht="14.5" x14ac:dyDescent="0.35">
      <c r="A707" s="1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</row>
    <row r="708" spans="1:42" ht="14.5" x14ac:dyDescent="0.35">
      <c r="A708" s="1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</row>
    <row r="709" spans="1:42" ht="14.5" x14ac:dyDescent="0.35">
      <c r="A709" s="1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</row>
    <row r="710" spans="1:42" ht="14.5" x14ac:dyDescent="0.35">
      <c r="A710" s="1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</row>
    <row r="711" spans="1:42" ht="14.5" x14ac:dyDescent="0.35">
      <c r="A711" s="1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</row>
    <row r="712" spans="1:42" ht="14.5" x14ac:dyDescent="0.35">
      <c r="A712" s="1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</row>
    <row r="713" spans="1:42" ht="14.5" x14ac:dyDescent="0.35">
      <c r="A713" s="1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</row>
    <row r="714" spans="1:42" ht="14.5" x14ac:dyDescent="0.35">
      <c r="A714" s="1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</row>
    <row r="715" spans="1:42" ht="14.5" x14ac:dyDescent="0.35">
      <c r="A715" s="1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</row>
    <row r="716" spans="1:42" ht="14.5" x14ac:dyDescent="0.35">
      <c r="A716" s="1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</row>
    <row r="717" spans="1:42" ht="14.5" x14ac:dyDescent="0.35">
      <c r="A717" s="1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</row>
    <row r="718" spans="1:42" ht="14.5" x14ac:dyDescent="0.35">
      <c r="A718" s="1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</row>
    <row r="719" spans="1:42" ht="14.5" x14ac:dyDescent="0.35">
      <c r="A719" s="1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</row>
    <row r="720" spans="1:42" ht="14.5" x14ac:dyDescent="0.35">
      <c r="A720" s="1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</row>
    <row r="721" spans="1:42" ht="14.5" x14ac:dyDescent="0.35">
      <c r="A721" s="1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</row>
    <row r="722" spans="1:42" ht="14.5" x14ac:dyDescent="0.35">
      <c r="A722" s="1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</row>
    <row r="723" spans="1:42" ht="14.5" x14ac:dyDescent="0.35">
      <c r="A723" s="1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</row>
    <row r="724" spans="1:42" ht="14.5" x14ac:dyDescent="0.35">
      <c r="A724" s="1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</row>
    <row r="725" spans="1:42" ht="14.5" x14ac:dyDescent="0.35">
      <c r="A725" s="1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</row>
    <row r="726" spans="1:42" ht="14.5" x14ac:dyDescent="0.35">
      <c r="A726" s="1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</row>
    <row r="727" spans="1:42" ht="14.5" x14ac:dyDescent="0.35">
      <c r="A727" s="1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</row>
    <row r="728" spans="1:42" ht="14.5" x14ac:dyDescent="0.35">
      <c r="A728" s="1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</row>
    <row r="729" spans="1:42" ht="14.5" x14ac:dyDescent="0.35">
      <c r="A729" s="1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</row>
    <row r="730" spans="1:42" ht="14.5" x14ac:dyDescent="0.35">
      <c r="A730" s="1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</row>
    <row r="731" spans="1:42" ht="14.5" x14ac:dyDescent="0.35">
      <c r="A731" s="1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</row>
    <row r="732" spans="1:42" ht="14.5" x14ac:dyDescent="0.35">
      <c r="A732" s="1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</row>
    <row r="733" spans="1:42" ht="14.5" x14ac:dyDescent="0.35">
      <c r="A733" s="1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</row>
    <row r="734" spans="1:42" ht="14.5" x14ac:dyDescent="0.35">
      <c r="A734" s="1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</row>
    <row r="735" spans="1:42" ht="14.5" x14ac:dyDescent="0.35">
      <c r="A735" s="1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</row>
    <row r="736" spans="1:42" ht="14.5" x14ac:dyDescent="0.35">
      <c r="A736" s="1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</row>
    <row r="737" spans="1:42" ht="14.5" x14ac:dyDescent="0.35">
      <c r="A737" s="1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</row>
    <row r="738" spans="1:42" ht="14.5" x14ac:dyDescent="0.35">
      <c r="A738" s="1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</row>
    <row r="739" spans="1:42" ht="14.5" x14ac:dyDescent="0.35">
      <c r="A739" s="1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</row>
    <row r="740" spans="1:42" ht="14.5" x14ac:dyDescent="0.35">
      <c r="A740" s="1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</row>
    <row r="741" spans="1:42" ht="14.5" x14ac:dyDescent="0.35">
      <c r="A741" s="1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</row>
    <row r="742" spans="1:42" ht="14.5" x14ac:dyDescent="0.35">
      <c r="A742" s="1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</row>
    <row r="743" spans="1:42" ht="14.5" x14ac:dyDescent="0.35">
      <c r="A743" s="1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</row>
    <row r="744" spans="1:42" ht="14.5" x14ac:dyDescent="0.35">
      <c r="A744" s="1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</row>
    <row r="745" spans="1:42" ht="14.5" x14ac:dyDescent="0.35">
      <c r="A745" s="1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</row>
    <row r="746" spans="1:42" ht="14.5" x14ac:dyDescent="0.35">
      <c r="A746" s="1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</row>
    <row r="747" spans="1:42" ht="14.5" x14ac:dyDescent="0.35">
      <c r="A747" s="1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</row>
    <row r="748" spans="1:42" ht="14.5" x14ac:dyDescent="0.35">
      <c r="A748" s="1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</row>
    <row r="749" spans="1:42" ht="14.5" x14ac:dyDescent="0.35">
      <c r="A749" s="1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</row>
    <row r="750" spans="1:42" ht="14.5" x14ac:dyDescent="0.35">
      <c r="A750" s="1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</row>
    <row r="751" spans="1:42" ht="14.5" x14ac:dyDescent="0.35">
      <c r="A751" s="1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</row>
    <row r="752" spans="1:42" ht="14.5" x14ac:dyDescent="0.35">
      <c r="A752" s="1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</row>
    <row r="753" spans="1:42" ht="14.5" x14ac:dyDescent="0.35">
      <c r="A753" s="1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</row>
    <row r="754" spans="1:42" ht="14.5" x14ac:dyDescent="0.35">
      <c r="A754" s="1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</row>
    <row r="755" spans="1:42" ht="14.5" x14ac:dyDescent="0.35">
      <c r="A755" s="1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</row>
    <row r="756" spans="1:42" ht="14.5" x14ac:dyDescent="0.35">
      <c r="A756" s="1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</row>
    <row r="757" spans="1:42" ht="14.5" x14ac:dyDescent="0.35">
      <c r="A757" s="1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</row>
    <row r="758" spans="1:42" ht="14.5" x14ac:dyDescent="0.35">
      <c r="A758" s="1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</row>
    <row r="759" spans="1:42" ht="14.5" x14ac:dyDescent="0.35">
      <c r="A759" s="1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</row>
    <row r="760" spans="1:42" ht="14.5" x14ac:dyDescent="0.35">
      <c r="A760" s="1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</row>
    <row r="761" spans="1:42" ht="14.5" x14ac:dyDescent="0.35">
      <c r="A761" s="1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</row>
    <row r="762" spans="1:42" ht="14.5" x14ac:dyDescent="0.35">
      <c r="A762" s="1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</row>
    <row r="763" spans="1:42" ht="14.5" x14ac:dyDescent="0.35">
      <c r="A763" s="1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</row>
    <row r="764" spans="1:42" ht="14.5" x14ac:dyDescent="0.35">
      <c r="A764" s="1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</row>
    <row r="765" spans="1:42" ht="14.5" x14ac:dyDescent="0.35">
      <c r="A765" s="1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</row>
    <row r="766" spans="1:42" ht="14.5" x14ac:dyDescent="0.35">
      <c r="A766" s="1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</row>
    <row r="767" spans="1:42" ht="14.5" x14ac:dyDescent="0.35">
      <c r="A767" s="1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</row>
    <row r="768" spans="1:42" ht="14.5" x14ac:dyDescent="0.35">
      <c r="A768" s="1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</row>
    <row r="769" spans="1:42" ht="14.5" x14ac:dyDescent="0.35">
      <c r="A769" s="1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</row>
    <row r="770" spans="1:42" ht="14.5" x14ac:dyDescent="0.35">
      <c r="A770" s="1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</row>
    <row r="771" spans="1:42" ht="14.5" x14ac:dyDescent="0.35">
      <c r="A771" s="1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</row>
    <row r="772" spans="1:42" ht="14.5" x14ac:dyDescent="0.35">
      <c r="A772" s="1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</row>
    <row r="773" spans="1:42" ht="14.5" x14ac:dyDescent="0.35">
      <c r="A773" s="1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</row>
    <row r="774" spans="1:42" ht="14.5" x14ac:dyDescent="0.35">
      <c r="A774" s="1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</row>
    <row r="775" spans="1:42" ht="14.5" x14ac:dyDescent="0.35">
      <c r="A775" s="1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</row>
    <row r="776" spans="1:42" ht="14.5" x14ac:dyDescent="0.35">
      <c r="A776" s="1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</row>
    <row r="777" spans="1:42" ht="14.5" x14ac:dyDescent="0.35">
      <c r="A777" s="1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</row>
    <row r="778" spans="1:42" ht="14.5" x14ac:dyDescent="0.35">
      <c r="A778" s="1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</row>
    <row r="779" spans="1:42" ht="14.5" x14ac:dyDescent="0.35">
      <c r="A779" s="1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</row>
    <row r="780" spans="1:42" ht="14.5" x14ac:dyDescent="0.35">
      <c r="A780" s="1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</row>
    <row r="781" spans="1:42" ht="14.5" x14ac:dyDescent="0.35">
      <c r="A781" s="1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</row>
    <row r="782" spans="1:42" ht="14.5" x14ac:dyDescent="0.35">
      <c r="A782" s="1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</row>
    <row r="783" spans="1:42" ht="14.5" x14ac:dyDescent="0.35">
      <c r="A783" s="1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</row>
    <row r="784" spans="1:42" ht="14.5" x14ac:dyDescent="0.35">
      <c r="A784" s="1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</row>
    <row r="785" spans="1:42" ht="14.5" x14ac:dyDescent="0.35">
      <c r="A785" s="1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</row>
    <row r="786" spans="1:42" ht="14.5" x14ac:dyDescent="0.35">
      <c r="A786" s="1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</row>
    <row r="787" spans="1:42" ht="14.5" x14ac:dyDescent="0.35">
      <c r="A787" s="1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</row>
    <row r="788" spans="1:42" ht="14.5" x14ac:dyDescent="0.35">
      <c r="A788" s="1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</row>
    <row r="789" spans="1:42" ht="14.5" x14ac:dyDescent="0.35">
      <c r="A789" s="1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</row>
    <row r="790" spans="1:42" ht="14.5" x14ac:dyDescent="0.35">
      <c r="A790" s="1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</row>
    <row r="791" spans="1:42" ht="14.5" x14ac:dyDescent="0.35">
      <c r="A791" s="1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</row>
    <row r="792" spans="1:42" ht="14.5" x14ac:dyDescent="0.35">
      <c r="A792" s="1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</row>
    <row r="793" spans="1:42" ht="14.5" x14ac:dyDescent="0.35">
      <c r="A793" s="1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</row>
    <row r="794" spans="1:42" ht="14.5" x14ac:dyDescent="0.35">
      <c r="A794" s="1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</row>
    <row r="795" spans="1:42" ht="14.5" x14ac:dyDescent="0.35">
      <c r="A795" s="1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</row>
    <row r="796" spans="1:42" ht="14.5" x14ac:dyDescent="0.35">
      <c r="A796" s="1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</row>
    <row r="797" spans="1:42" ht="14.5" x14ac:dyDescent="0.35">
      <c r="A797" s="1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</row>
    <row r="798" spans="1:42" ht="14.5" x14ac:dyDescent="0.35">
      <c r="A798" s="1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</row>
    <row r="799" spans="1:42" ht="14.5" x14ac:dyDescent="0.35">
      <c r="A799" s="1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</row>
    <row r="800" spans="1:42" ht="14.5" x14ac:dyDescent="0.35">
      <c r="A800" s="1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</row>
    <row r="801" spans="1:42" ht="14.5" x14ac:dyDescent="0.35">
      <c r="A801" s="1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</row>
    <row r="802" spans="1:42" ht="14.5" x14ac:dyDescent="0.35">
      <c r="A802" s="1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</row>
    <row r="803" spans="1:42" ht="14.5" x14ac:dyDescent="0.35">
      <c r="A803" s="1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</row>
    <row r="804" spans="1:42" ht="14.5" x14ac:dyDescent="0.35">
      <c r="A804" s="1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</row>
    <row r="805" spans="1:42" ht="14.5" x14ac:dyDescent="0.35">
      <c r="A805" s="1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</row>
    <row r="806" spans="1:42" ht="14.5" x14ac:dyDescent="0.35">
      <c r="A806" s="1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</row>
    <row r="807" spans="1:42" ht="14.5" x14ac:dyDescent="0.35">
      <c r="A807" s="1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</row>
    <row r="808" spans="1:42" ht="14.5" x14ac:dyDescent="0.35">
      <c r="A808" s="1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</row>
    <row r="809" spans="1:42" ht="14.5" x14ac:dyDescent="0.35">
      <c r="A809" s="1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</row>
    <row r="810" spans="1:42" ht="14.5" x14ac:dyDescent="0.35">
      <c r="A810" s="1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</row>
    <row r="811" spans="1:42" ht="14.5" x14ac:dyDescent="0.35">
      <c r="A811" s="1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</row>
    <row r="812" spans="1:42" ht="14.5" x14ac:dyDescent="0.35">
      <c r="A812" s="1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</row>
    <row r="813" spans="1:42" ht="14.5" x14ac:dyDescent="0.35">
      <c r="A813" s="1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</row>
    <row r="814" spans="1:42" ht="14.5" x14ac:dyDescent="0.35">
      <c r="A814" s="1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</row>
    <row r="815" spans="1:42" ht="14.5" x14ac:dyDescent="0.35">
      <c r="A815" s="1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</row>
    <row r="816" spans="1:42" ht="14.5" x14ac:dyDescent="0.35">
      <c r="A816" s="1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</row>
    <row r="817" spans="1:42" ht="14.5" x14ac:dyDescent="0.35">
      <c r="A817" s="1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</row>
    <row r="818" spans="1:42" ht="14.5" x14ac:dyDescent="0.35">
      <c r="A818" s="1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</row>
    <row r="819" spans="1:42" ht="14.5" x14ac:dyDescent="0.35">
      <c r="A819" s="1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</row>
    <row r="820" spans="1:42" ht="14.5" x14ac:dyDescent="0.35">
      <c r="A820" s="1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</row>
    <row r="821" spans="1:42" ht="14.5" x14ac:dyDescent="0.35">
      <c r="A821" s="1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</row>
    <row r="822" spans="1:42" ht="14.5" x14ac:dyDescent="0.35">
      <c r="A822" s="1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</row>
    <row r="823" spans="1:42" ht="14.5" x14ac:dyDescent="0.35">
      <c r="A823" s="1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</row>
    <row r="824" spans="1:42" ht="14.5" x14ac:dyDescent="0.35">
      <c r="A824" s="1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</row>
    <row r="825" spans="1:42" ht="14.5" x14ac:dyDescent="0.35">
      <c r="A825" s="1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</row>
    <row r="826" spans="1:42" ht="14.5" x14ac:dyDescent="0.35">
      <c r="A826" s="1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</row>
    <row r="827" spans="1:42" ht="14.5" x14ac:dyDescent="0.35">
      <c r="A827" s="1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</row>
    <row r="828" spans="1:42" ht="14.5" x14ac:dyDescent="0.35">
      <c r="A828" s="1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</row>
    <row r="829" spans="1:42" ht="14.5" x14ac:dyDescent="0.35">
      <c r="A829" s="1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</row>
    <row r="830" spans="1:42" ht="14.5" x14ac:dyDescent="0.35">
      <c r="A830" s="1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</row>
    <row r="831" spans="1:42" ht="14.5" x14ac:dyDescent="0.35">
      <c r="A831" s="1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</row>
    <row r="832" spans="1:42" ht="14.5" x14ac:dyDescent="0.35">
      <c r="A832" s="1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</row>
    <row r="833" spans="1:42" ht="14.5" x14ac:dyDescent="0.35">
      <c r="A833" s="1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</row>
    <row r="834" spans="1:42" ht="14.5" x14ac:dyDescent="0.35">
      <c r="A834" s="1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</row>
    <row r="835" spans="1:42" ht="14.5" x14ac:dyDescent="0.35">
      <c r="A835" s="1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</row>
    <row r="836" spans="1:42" ht="14.5" x14ac:dyDescent="0.35">
      <c r="A836" s="1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</row>
    <row r="837" spans="1:42" ht="14.5" x14ac:dyDescent="0.35">
      <c r="A837" s="1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</row>
    <row r="838" spans="1:42" ht="14.5" x14ac:dyDescent="0.35">
      <c r="A838" s="1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</row>
    <row r="839" spans="1:42" ht="14.5" x14ac:dyDescent="0.35">
      <c r="A839" s="1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</row>
    <row r="840" spans="1:42" ht="14.5" x14ac:dyDescent="0.35">
      <c r="A840" s="1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</row>
    <row r="841" spans="1:42" ht="14.5" x14ac:dyDescent="0.35">
      <c r="A841" s="1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</row>
    <row r="842" spans="1:42" ht="14.5" x14ac:dyDescent="0.35">
      <c r="A842" s="1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</row>
    <row r="843" spans="1:42" ht="14.5" x14ac:dyDescent="0.35">
      <c r="A843" s="1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</row>
    <row r="844" spans="1:42" ht="14.5" x14ac:dyDescent="0.35">
      <c r="A844" s="1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</row>
    <row r="845" spans="1:42" ht="14.5" x14ac:dyDescent="0.35">
      <c r="A845" s="1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</row>
    <row r="846" spans="1:42" ht="14.5" x14ac:dyDescent="0.35">
      <c r="A846" s="1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</row>
    <row r="847" spans="1:42" ht="14.5" x14ac:dyDescent="0.35">
      <c r="A847" s="1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</row>
    <row r="848" spans="1:42" ht="14.5" x14ac:dyDescent="0.35">
      <c r="A848" s="1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</row>
    <row r="849" spans="1:42" ht="14.5" x14ac:dyDescent="0.35">
      <c r="A849" s="1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</row>
    <row r="850" spans="1:42" ht="14.5" x14ac:dyDescent="0.35">
      <c r="A850" s="1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</row>
    <row r="851" spans="1:42" ht="14.5" x14ac:dyDescent="0.35">
      <c r="A851" s="1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</row>
    <row r="852" spans="1:42" ht="14.5" x14ac:dyDescent="0.35">
      <c r="A852" s="1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</row>
    <row r="853" spans="1:42" ht="14.5" x14ac:dyDescent="0.35">
      <c r="A853" s="1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</row>
    <row r="854" spans="1:42" ht="14.5" x14ac:dyDescent="0.35">
      <c r="A854" s="1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</row>
    <row r="855" spans="1:42" ht="14.5" x14ac:dyDescent="0.35">
      <c r="A855" s="1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</row>
    <row r="856" spans="1:42" ht="14.5" x14ac:dyDescent="0.35">
      <c r="A856" s="1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</row>
    <row r="857" spans="1:42" ht="14.5" x14ac:dyDescent="0.35">
      <c r="A857" s="1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</row>
    <row r="858" spans="1:42" ht="14.5" x14ac:dyDescent="0.35">
      <c r="A858" s="1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</row>
    <row r="859" spans="1:42" ht="14.5" x14ac:dyDescent="0.35">
      <c r="A859" s="1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</row>
    <row r="860" spans="1:42" ht="14.5" x14ac:dyDescent="0.35">
      <c r="A860" s="1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</row>
    <row r="861" spans="1:42" ht="14.5" x14ac:dyDescent="0.35">
      <c r="A861" s="1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</row>
    <row r="862" spans="1:42" ht="14.5" x14ac:dyDescent="0.35">
      <c r="A862" s="1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</row>
    <row r="863" spans="1:42" ht="14.5" x14ac:dyDescent="0.35">
      <c r="A863" s="1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</row>
    <row r="864" spans="1:42" ht="14.5" x14ac:dyDescent="0.35">
      <c r="A864" s="1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</row>
    <row r="865" spans="1:42" ht="14.5" x14ac:dyDescent="0.35">
      <c r="A865" s="1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</row>
    <row r="866" spans="1:42" ht="14.5" x14ac:dyDescent="0.35">
      <c r="A866" s="1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</row>
    <row r="867" spans="1:42" ht="14.5" x14ac:dyDescent="0.35">
      <c r="A867" s="1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</row>
    <row r="868" spans="1:42" ht="14.5" x14ac:dyDescent="0.35">
      <c r="A868" s="1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</row>
    <row r="869" spans="1:42" ht="14.5" x14ac:dyDescent="0.35">
      <c r="A869" s="1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</row>
    <row r="870" spans="1:42" ht="14.5" x14ac:dyDescent="0.35">
      <c r="A870" s="1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</row>
    <row r="871" spans="1:42" ht="14.5" x14ac:dyDescent="0.35">
      <c r="A871" s="1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</row>
    <row r="872" spans="1:42" ht="14.5" x14ac:dyDescent="0.35">
      <c r="A872" s="1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</row>
    <row r="873" spans="1:42" ht="14.5" x14ac:dyDescent="0.35">
      <c r="A873" s="1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</row>
    <row r="874" spans="1:42" ht="14.5" x14ac:dyDescent="0.35">
      <c r="A874" s="1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</row>
    <row r="875" spans="1:42" ht="14.5" x14ac:dyDescent="0.35">
      <c r="A875" s="1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</row>
    <row r="876" spans="1:42" ht="14.5" x14ac:dyDescent="0.35">
      <c r="A876" s="1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</row>
    <row r="877" spans="1:42" ht="14.5" x14ac:dyDescent="0.35">
      <c r="A877" s="1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</row>
    <row r="878" spans="1:42" ht="14.5" x14ac:dyDescent="0.35">
      <c r="A878" s="1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</row>
    <row r="879" spans="1:42" ht="14.5" x14ac:dyDescent="0.35">
      <c r="A879" s="1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</row>
    <row r="880" spans="1:42" ht="14.5" x14ac:dyDescent="0.35">
      <c r="A880" s="1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</row>
    <row r="881" spans="1:42" ht="14.5" x14ac:dyDescent="0.35">
      <c r="A881" s="1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</row>
    <row r="882" spans="1:42" ht="14.5" x14ac:dyDescent="0.35">
      <c r="A882" s="1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</row>
    <row r="883" spans="1:42" ht="14.5" x14ac:dyDescent="0.35">
      <c r="A883" s="1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</row>
    <row r="884" spans="1:42" ht="14.5" x14ac:dyDescent="0.35">
      <c r="A884" s="1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</row>
    <row r="885" spans="1:42" ht="14.5" x14ac:dyDescent="0.35">
      <c r="A885" s="1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</row>
    <row r="886" spans="1:42" ht="14.5" x14ac:dyDescent="0.35">
      <c r="A886" s="1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</row>
    <row r="887" spans="1:42" ht="14.5" x14ac:dyDescent="0.35">
      <c r="A887" s="1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</row>
    <row r="888" spans="1:42" ht="14.5" x14ac:dyDescent="0.35">
      <c r="A888" s="1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</row>
    <row r="889" spans="1:42" ht="14.5" x14ac:dyDescent="0.35">
      <c r="A889" s="1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</row>
    <row r="890" spans="1:42" ht="14.5" x14ac:dyDescent="0.35">
      <c r="A890" s="1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</row>
    <row r="891" spans="1:42" ht="14.5" x14ac:dyDescent="0.35">
      <c r="A891" s="1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</row>
    <row r="892" spans="1:42" ht="14.5" x14ac:dyDescent="0.35">
      <c r="A892" s="1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</row>
    <row r="893" spans="1:42" ht="14.5" x14ac:dyDescent="0.35">
      <c r="A893" s="1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</row>
    <row r="894" spans="1:42" ht="14.5" x14ac:dyDescent="0.35">
      <c r="A894" s="1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</row>
    <row r="895" spans="1:42" ht="14.5" x14ac:dyDescent="0.35">
      <c r="A895" s="1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</row>
    <row r="896" spans="1:42" ht="14.5" x14ac:dyDescent="0.35">
      <c r="A896" s="1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</row>
    <row r="897" spans="1:42" ht="14.5" x14ac:dyDescent="0.35">
      <c r="A897" s="1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</row>
    <row r="898" spans="1:42" ht="14.5" x14ac:dyDescent="0.35">
      <c r="A898" s="1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</row>
    <row r="899" spans="1:42" ht="14.5" x14ac:dyDescent="0.35">
      <c r="A899" s="1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</row>
    <row r="900" spans="1:42" ht="14.5" x14ac:dyDescent="0.35">
      <c r="A900" s="1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</row>
    <row r="901" spans="1:42" ht="14.5" x14ac:dyDescent="0.35">
      <c r="A901" s="1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</row>
    <row r="902" spans="1:42" ht="14.5" x14ac:dyDescent="0.35">
      <c r="A902" s="1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</row>
    <row r="903" spans="1:42" ht="14.5" x14ac:dyDescent="0.35">
      <c r="A903" s="1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</row>
    <row r="904" spans="1:42" ht="14.5" x14ac:dyDescent="0.35">
      <c r="A904" s="1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</row>
    <row r="905" spans="1:42" ht="14.5" x14ac:dyDescent="0.35">
      <c r="A905" s="1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</row>
    <row r="906" spans="1:42" ht="14.5" x14ac:dyDescent="0.35">
      <c r="A906" s="1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</row>
    <row r="907" spans="1:42" ht="14.5" x14ac:dyDescent="0.35">
      <c r="A907" s="1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</row>
    <row r="908" spans="1:42" ht="14.5" x14ac:dyDescent="0.35">
      <c r="A908" s="1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</row>
    <row r="909" spans="1:42" ht="14.5" x14ac:dyDescent="0.35">
      <c r="A909" s="1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</row>
    <row r="910" spans="1:42" ht="14.5" x14ac:dyDescent="0.35">
      <c r="A910" s="1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</row>
    <row r="911" spans="1:42" ht="14.5" x14ac:dyDescent="0.35">
      <c r="A911" s="1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</row>
    <row r="912" spans="1:42" ht="14.5" x14ac:dyDescent="0.35">
      <c r="A912" s="1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</row>
    <row r="913" spans="1:42" ht="14.5" x14ac:dyDescent="0.35">
      <c r="A913" s="1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</row>
    <row r="914" spans="1:42" ht="14.5" x14ac:dyDescent="0.35">
      <c r="A914" s="1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</row>
    <row r="915" spans="1:42" ht="14.5" x14ac:dyDescent="0.35">
      <c r="A915" s="1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</row>
    <row r="916" spans="1:42" ht="14.5" x14ac:dyDescent="0.35">
      <c r="A916" s="1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</row>
    <row r="917" spans="1:42" ht="14.5" x14ac:dyDescent="0.35">
      <c r="A917" s="1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</row>
    <row r="918" spans="1:42" ht="14.5" x14ac:dyDescent="0.35">
      <c r="A918" s="1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</row>
    <row r="919" spans="1:42" ht="14.5" x14ac:dyDescent="0.35">
      <c r="A919" s="1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</row>
    <row r="920" spans="1:42" ht="14.5" x14ac:dyDescent="0.35">
      <c r="A920" s="1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</row>
    <row r="921" spans="1:42" ht="14.5" x14ac:dyDescent="0.35">
      <c r="A921" s="1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</row>
    <row r="922" spans="1:42" ht="14.5" x14ac:dyDescent="0.35">
      <c r="A922" s="1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</row>
    <row r="923" spans="1:42" ht="14.5" x14ac:dyDescent="0.35">
      <c r="A923" s="1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</row>
    <row r="924" spans="1:42" ht="14.5" x14ac:dyDescent="0.35">
      <c r="A924" s="1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</row>
    <row r="925" spans="1:42" ht="14.5" x14ac:dyDescent="0.35">
      <c r="A925" s="1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</row>
    <row r="926" spans="1:42" ht="14.5" x14ac:dyDescent="0.35">
      <c r="A926" s="1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</row>
    <row r="927" spans="1:42" ht="14.5" x14ac:dyDescent="0.35">
      <c r="A927" s="1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</row>
    <row r="928" spans="1:42" ht="14.5" x14ac:dyDescent="0.35">
      <c r="A928" s="1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</row>
    <row r="929" spans="1:42" ht="14.5" x14ac:dyDescent="0.35">
      <c r="A929" s="1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</row>
    <row r="930" spans="1:42" ht="14.5" x14ac:dyDescent="0.35">
      <c r="A930" s="1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</row>
    <row r="931" spans="1:42" ht="14.5" x14ac:dyDescent="0.35">
      <c r="A931" s="1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</row>
    <row r="932" spans="1:42" ht="14.5" x14ac:dyDescent="0.35">
      <c r="A932" s="1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</row>
    <row r="933" spans="1:42" ht="14.5" x14ac:dyDescent="0.35">
      <c r="A933" s="1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</row>
    <row r="934" spans="1:42" ht="14.5" x14ac:dyDescent="0.35">
      <c r="A934" s="1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</row>
    <row r="935" spans="1:42" ht="14.5" x14ac:dyDescent="0.35">
      <c r="A935" s="1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</row>
    <row r="936" spans="1:42" ht="14.5" x14ac:dyDescent="0.35">
      <c r="A936" s="1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</row>
    <row r="937" spans="1:42" ht="14.5" x14ac:dyDescent="0.35">
      <c r="A937" s="1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</row>
    <row r="938" spans="1:42" ht="14.5" x14ac:dyDescent="0.35">
      <c r="A938" s="1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</row>
    <row r="939" spans="1:42" ht="14.5" x14ac:dyDescent="0.35">
      <c r="A939" s="1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</row>
    <row r="940" spans="1:42" ht="14.5" x14ac:dyDescent="0.35">
      <c r="A940" s="1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</row>
    <row r="941" spans="1:42" ht="14.5" x14ac:dyDescent="0.35">
      <c r="A941" s="1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</row>
    <row r="942" spans="1:42" ht="14.5" x14ac:dyDescent="0.35">
      <c r="A942" s="1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</row>
    <row r="943" spans="1:42" ht="14.5" x14ac:dyDescent="0.35">
      <c r="A943" s="1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</row>
    <row r="944" spans="1:42" ht="14.5" x14ac:dyDescent="0.35">
      <c r="A944" s="1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</row>
    <row r="945" spans="1:42" ht="14.5" x14ac:dyDescent="0.35">
      <c r="A945" s="1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</row>
    <row r="946" spans="1:42" ht="14.5" x14ac:dyDescent="0.35">
      <c r="A946" s="1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</row>
    <row r="947" spans="1:42" ht="14.5" x14ac:dyDescent="0.35">
      <c r="A947" s="1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</row>
    <row r="948" spans="1:42" ht="14.5" x14ac:dyDescent="0.35">
      <c r="A948" s="1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</row>
    <row r="949" spans="1:42" ht="14.5" x14ac:dyDescent="0.35">
      <c r="A949" s="1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</row>
    <row r="950" spans="1:42" ht="14.5" x14ac:dyDescent="0.35">
      <c r="A950" s="1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</row>
    <row r="951" spans="1:42" ht="14.5" x14ac:dyDescent="0.35">
      <c r="A951" s="1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</row>
    <row r="952" spans="1:42" ht="14.5" x14ac:dyDescent="0.35">
      <c r="A952" s="1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</row>
    <row r="953" spans="1:42" ht="14.5" x14ac:dyDescent="0.35">
      <c r="A953" s="1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</row>
    <row r="954" spans="1:42" ht="14.5" x14ac:dyDescent="0.35">
      <c r="A954" s="1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</row>
    <row r="955" spans="1:42" ht="14.5" x14ac:dyDescent="0.35">
      <c r="A955" s="1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</row>
    <row r="956" spans="1:42" ht="14.5" x14ac:dyDescent="0.35">
      <c r="A956" s="1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</row>
    <row r="957" spans="1:42" ht="14.5" x14ac:dyDescent="0.35">
      <c r="A957" s="1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</row>
    <row r="958" spans="1:42" ht="14.5" x14ac:dyDescent="0.35">
      <c r="A958" s="1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</row>
  </sheetData>
  <mergeCells count="16">
    <mergeCell ref="A5:A6"/>
    <mergeCell ref="AG5:AG6"/>
    <mergeCell ref="AO5:AO6"/>
    <mergeCell ref="AP5:AP6"/>
    <mergeCell ref="AH5:AH6"/>
    <mergeCell ref="AI5:AI6"/>
    <mergeCell ref="AJ5:AJ6"/>
    <mergeCell ref="AK5:AK6"/>
    <mergeCell ref="AL5:AL6"/>
    <mergeCell ref="AM5:AM6"/>
    <mergeCell ref="AN5:AN6"/>
    <mergeCell ref="B1:H1"/>
    <mergeCell ref="I1:J1"/>
    <mergeCell ref="K1:L1"/>
    <mergeCell ref="B2:C2"/>
    <mergeCell ref="F2:G2"/>
  </mergeCells>
  <conditionalFormatting sqref="H7:H14 G7:G42 K7:AF42 J8:J14 B9 C9:C10 I9:I10 D10:E10 C12 E12:F12 D12:D14 B13 I13:I15 E14:F15 C14:C21 H16:H42 J16:J42 D17:F17 I17:I21 F19:F21 D19:D23 E20:E22 B23:C23 F23:F24 I23:I24 C25 B28 F28:F37 C29:E31 I29:I31 B30 E33 C34:C37 I34:I37 D34:D38 E35:E37 B38 F39 I39:I40 D40:E40 B40:B41">
    <cfRule type="containsBlanks" dxfId="2" priority="1">
      <formula>LEN(TRIM(G7))=0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200-000000000000}">
          <x14:formula1>
            <xm:f>Helper!$A$2:$A$13</xm:f>
          </x14:formula1>
          <xm:sqref>I1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P957"/>
  <sheetViews>
    <sheetView topLeftCell="A5" workbookViewId="0">
      <pane xSplit="1" topLeftCell="B1" activePane="topRight" state="frozen"/>
      <selection pane="topRight" activeCell="A29" sqref="A29:XFD29"/>
    </sheetView>
  </sheetViews>
  <sheetFormatPr defaultColWidth="12.6328125" defaultRowHeight="15.75" customHeight="1" x14ac:dyDescent="0.25"/>
  <cols>
    <col min="1" max="1" width="21.453125" customWidth="1"/>
    <col min="8" max="8" width="13" customWidth="1"/>
  </cols>
  <sheetData>
    <row r="1" spans="1:42" ht="14.5" x14ac:dyDescent="0.35">
      <c r="A1" s="14"/>
      <c r="B1" s="30" t="s">
        <v>38</v>
      </c>
      <c r="C1" s="31"/>
      <c r="D1" s="31"/>
      <c r="E1" s="31"/>
      <c r="F1" s="31"/>
      <c r="G1" s="31"/>
      <c r="H1" s="31"/>
      <c r="I1" s="32" t="s">
        <v>14</v>
      </c>
      <c r="J1" s="31"/>
      <c r="K1" s="32">
        <v>2026</v>
      </c>
      <c r="L1" s="33"/>
      <c r="M1" s="15"/>
      <c r="N1" s="15"/>
      <c r="O1" s="15"/>
      <c r="P1" s="15"/>
      <c r="Q1" s="15"/>
      <c r="R1" s="14"/>
      <c r="S1" s="14"/>
      <c r="T1" s="14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</row>
    <row r="2" spans="1:42" ht="14.5" x14ac:dyDescent="0.35">
      <c r="A2" s="15"/>
      <c r="B2" s="34" t="s">
        <v>39</v>
      </c>
      <c r="C2" s="35"/>
      <c r="D2" s="17">
        <f>DATEVALUE("1"&amp;I1&amp;K1)</f>
        <v>46143</v>
      </c>
      <c r="E2" s="18"/>
      <c r="F2" s="34" t="s">
        <v>40</v>
      </c>
      <c r="G2" s="35"/>
      <c r="H2" s="17">
        <f>EOMONTH(D2,0)</f>
        <v>46173</v>
      </c>
      <c r="I2" s="15"/>
      <c r="J2" s="15"/>
      <c r="K2" s="15"/>
      <c r="L2" s="14"/>
      <c r="M2" s="15"/>
      <c r="N2" s="15"/>
      <c r="O2" s="14"/>
      <c r="P2" s="18"/>
      <c r="Q2" s="18"/>
      <c r="R2" s="15"/>
      <c r="S2" s="15"/>
      <c r="T2" s="15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</row>
    <row r="3" spans="1:42" ht="14.5" x14ac:dyDescent="0.3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</row>
    <row r="4" spans="1:42" ht="14.5" x14ac:dyDescent="0.35">
      <c r="A4" s="16"/>
      <c r="B4" s="16" t="str">
        <f>IFERROR(IF(B6="",1,VLOOKUP(B6,Helper!$D$2:$E$18,2,0)),"")</f>
        <v>MH</v>
      </c>
      <c r="C4" s="16" t="str">
        <f>IFERROR(IF(C6="",1,VLOOKUP(C6,Helper!$D$2:$E$18,2,0)),"")</f>
        <v/>
      </c>
      <c r="D4" s="16" t="str">
        <f>IFERROR(IF(D6="",1,VLOOKUP(D6,Helper!$D$2:$E$18,2,0)),"")</f>
        <v/>
      </c>
      <c r="E4" s="16" t="str">
        <f>IFERROR(IF(E6="",1,VLOOKUP(E6,Helper!$D$2:$E$18,2,0)),"")</f>
        <v/>
      </c>
      <c r="F4" s="16" t="str">
        <f>IFERROR(IF(F6="",1,VLOOKUP(F6,Helper!$D$2:$E$18,2,0)),"")</f>
        <v/>
      </c>
      <c r="G4" s="16" t="str">
        <f>IFERROR(IF(G6="",1,VLOOKUP(G6,Helper!$D$2:$E$18,2,0)),"")</f>
        <v/>
      </c>
      <c r="H4" s="16" t="str">
        <f>IFERROR(IF(H6="",1,VLOOKUP(H6,Helper!$D$2:$E$18,2,0)),"")</f>
        <v/>
      </c>
      <c r="I4" s="16" t="str">
        <f>IFERROR(IF(I6="",1,VLOOKUP(I6,Helper!$D$2:$E$18,2,0)),"")</f>
        <v/>
      </c>
      <c r="J4" s="16" t="str">
        <f>IFERROR(IF(J6="",1,VLOOKUP(J6,Helper!$D$2:$E$18,2,0)),"")</f>
        <v/>
      </c>
      <c r="K4" s="16" t="str">
        <f>IFERROR(IF(K6="",1,VLOOKUP(K6,Helper!$D$2:$E$18,2,0)),"")</f>
        <v/>
      </c>
      <c r="L4" s="16" t="str">
        <f>IFERROR(IF(L6="",1,VLOOKUP(L6,Helper!$D$2:$E$18,2,0)),"")</f>
        <v/>
      </c>
      <c r="M4" s="16" t="str">
        <f>IFERROR(IF(M6="",1,VLOOKUP(M6,Helper!$D$2:$E$18,2,0)),"")</f>
        <v/>
      </c>
      <c r="N4" s="16" t="str">
        <f>IFERROR(IF(N6="",1,VLOOKUP(N6,Helper!$D$2:$E$18,2,0)),"")</f>
        <v/>
      </c>
      <c r="O4" s="16" t="str">
        <f>IFERROR(IF(O6="",1,VLOOKUP(O6,Helper!$D$2:$E$18,2,0)),"")</f>
        <v/>
      </c>
      <c r="P4" s="16"/>
      <c r="Q4" s="16" t="str">
        <f>IFERROR(IF(Q6="",1,VLOOKUP(Q6,Helper!$D$2:$E$18,2,0)),"")</f>
        <v/>
      </c>
      <c r="R4" s="16" t="str">
        <f>IFERROR(IF(R6="",1,VLOOKUP(R6,Helper!$D$2:$E$18,2,0)),"")</f>
        <v/>
      </c>
      <c r="S4" s="16" t="str">
        <f>IFERROR(IF(S6="",1,VLOOKUP(S6,Helper!$D$2:$E$18,2,0)),"")</f>
        <v/>
      </c>
      <c r="T4" s="16" t="str">
        <f>IFERROR(IF(T6="",1,VLOOKUP(T6,Helper!$D$2:$E$18,2,0)),"")</f>
        <v/>
      </c>
      <c r="U4" s="16" t="str">
        <f>IFERROR(IF(U6="",1,VLOOKUP(U6,Helper!$D$2:$E$18,2,0)),"")</f>
        <v/>
      </c>
      <c r="V4" s="16" t="str">
        <f>IFERROR(IF(V6="",1,VLOOKUP(V6,Helper!$D$2:$E$18,2,0)),"")</f>
        <v/>
      </c>
      <c r="W4" s="16" t="str">
        <f>IFERROR(IF(W6="",1,VLOOKUP(W6,Helper!$D$2:$E$18,2,0)),"")</f>
        <v/>
      </c>
      <c r="X4" s="16" t="str">
        <f>IFERROR(IF(X6="",1,VLOOKUP(X6,Helper!$D$2:$E$18,2,0)),"")</f>
        <v/>
      </c>
      <c r="Y4" s="16" t="str">
        <f>IFERROR(IF(Y6="",1,VLOOKUP(Y6,Helper!$D$2:$E$18,2,0)),"")</f>
        <v/>
      </c>
      <c r="Z4" s="16" t="str">
        <f>IFERROR(IF(Z6="",1,VLOOKUP(Z6,Helper!$D$2:$E$18,2,0)),"")</f>
        <v/>
      </c>
      <c r="AA4" s="16" t="str">
        <f>IFERROR(IF(AA6="",1,VLOOKUP(AA6,Helper!$D$2:$E$18,2,0)),"")</f>
        <v/>
      </c>
      <c r="AB4" s="16"/>
      <c r="AC4" s="16" t="str">
        <f>IFERROR(IF(AC6="",1,VLOOKUP(AC6,Helper!$D$2:$E$18,2,0)),"")</f>
        <v>OH</v>
      </c>
      <c r="AD4" s="16" t="str">
        <f>IFERROR(IF(AD6="",1,VLOOKUP(AD6,Helper!$D$2:$E$18,2,0)),"")</f>
        <v/>
      </c>
      <c r="AE4" s="16" t="str">
        <f>IFERROR(IF(AE6="",1,VLOOKUP(AE6,Helper!$D$2:$E$18,2,0)),"")</f>
        <v/>
      </c>
      <c r="AF4" s="16" t="str">
        <f>IFERROR(IF(AF6="",1,VLOOKUP(AF6,Helper!$D$2:$E$18,2,0)),"")</f>
        <v/>
      </c>
      <c r="AG4" s="16"/>
      <c r="AH4" s="16"/>
      <c r="AI4" s="16"/>
      <c r="AJ4" s="16"/>
      <c r="AK4" s="16"/>
      <c r="AL4" s="16"/>
      <c r="AM4" s="16"/>
      <c r="AN4" s="16"/>
      <c r="AO4" s="16"/>
      <c r="AP4" s="16"/>
    </row>
    <row r="5" spans="1:42" ht="14.5" x14ac:dyDescent="0.35">
      <c r="A5" s="36" t="s">
        <v>41</v>
      </c>
      <c r="B5" s="19" t="str">
        <f t="shared" ref="B5:AF5" si="0">TEXT(B6,"DDD")</f>
        <v>Fri</v>
      </c>
      <c r="C5" s="19" t="str">
        <f t="shared" si="0"/>
        <v>Sat</v>
      </c>
      <c r="D5" s="19" t="str">
        <f t="shared" si="0"/>
        <v>Sun</v>
      </c>
      <c r="E5" s="19" t="str">
        <f t="shared" si="0"/>
        <v>Mon</v>
      </c>
      <c r="F5" s="19" t="str">
        <f t="shared" si="0"/>
        <v>Tue</v>
      </c>
      <c r="G5" s="19" t="str">
        <f t="shared" si="0"/>
        <v>Wed</v>
      </c>
      <c r="H5" s="19" t="str">
        <f t="shared" si="0"/>
        <v>Thu</v>
      </c>
      <c r="I5" s="19" t="str">
        <f t="shared" si="0"/>
        <v>Fri</v>
      </c>
      <c r="J5" s="19" t="str">
        <f t="shared" si="0"/>
        <v>Sat</v>
      </c>
      <c r="K5" s="19" t="str">
        <f t="shared" si="0"/>
        <v>Sun</v>
      </c>
      <c r="L5" s="19" t="str">
        <f t="shared" si="0"/>
        <v>Mon</v>
      </c>
      <c r="M5" s="19" t="str">
        <f t="shared" si="0"/>
        <v>Tue</v>
      </c>
      <c r="N5" s="19" t="str">
        <f t="shared" si="0"/>
        <v>Wed</v>
      </c>
      <c r="O5" s="19" t="str">
        <f t="shared" si="0"/>
        <v>Thu</v>
      </c>
      <c r="P5" s="19" t="str">
        <f t="shared" si="0"/>
        <v>Fri</v>
      </c>
      <c r="Q5" s="19" t="str">
        <f t="shared" si="0"/>
        <v>Sat</v>
      </c>
      <c r="R5" s="19" t="str">
        <f t="shared" si="0"/>
        <v>Sun</v>
      </c>
      <c r="S5" s="19" t="str">
        <f t="shared" si="0"/>
        <v>Mon</v>
      </c>
      <c r="T5" s="19" t="str">
        <f t="shared" si="0"/>
        <v>Tue</v>
      </c>
      <c r="U5" s="19" t="str">
        <f t="shared" si="0"/>
        <v>Wed</v>
      </c>
      <c r="V5" s="19" t="str">
        <f t="shared" si="0"/>
        <v>Thu</v>
      </c>
      <c r="W5" s="19" t="str">
        <f t="shared" si="0"/>
        <v>Fri</v>
      </c>
      <c r="X5" s="19" t="str">
        <f t="shared" si="0"/>
        <v>Sat</v>
      </c>
      <c r="Y5" s="19" t="str">
        <f t="shared" si="0"/>
        <v>Sun</v>
      </c>
      <c r="Z5" s="19" t="str">
        <f t="shared" si="0"/>
        <v>Mon</v>
      </c>
      <c r="AA5" s="19" t="str">
        <f t="shared" si="0"/>
        <v>Tue</v>
      </c>
      <c r="AB5" s="19" t="str">
        <f t="shared" si="0"/>
        <v>Wed</v>
      </c>
      <c r="AC5" s="19" t="str">
        <f t="shared" si="0"/>
        <v>Thu</v>
      </c>
      <c r="AD5" s="19" t="str">
        <f t="shared" si="0"/>
        <v>Fri</v>
      </c>
      <c r="AE5" s="19" t="str">
        <f t="shared" si="0"/>
        <v>Sat</v>
      </c>
      <c r="AF5" s="19" t="str">
        <f t="shared" si="0"/>
        <v>Sun</v>
      </c>
      <c r="AG5" s="38" t="s">
        <v>42</v>
      </c>
      <c r="AH5" s="38" t="s">
        <v>43</v>
      </c>
      <c r="AI5" s="38" t="s">
        <v>44</v>
      </c>
      <c r="AJ5" s="38" t="s">
        <v>45</v>
      </c>
      <c r="AK5" s="38" t="s">
        <v>46</v>
      </c>
      <c r="AL5" s="38" t="s">
        <v>47</v>
      </c>
      <c r="AM5" s="38" t="s">
        <v>48</v>
      </c>
      <c r="AN5" s="38" t="s">
        <v>49</v>
      </c>
      <c r="AO5" s="38" t="s">
        <v>50</v>
      </c>
      <c r="AP5" s="38" t="s">
        <v>51</v>
      </c>
    </row>
    <row r="6" spans="1:42" ht="14.5" x14ac:dyDescent="0.35">
      <c r="A6" s="37"/>
      <c r="B6" s="20">
        <f>D2</f>
        <v>46143</v>
      </c>
      <c r="C6" s="20">
        <f t="shared" ref="C6:AF6" si="1">IF(B6&lt;$H$2,B6+1,"")</f>
        <v>46144</v>
      </c>
      <c r="D6" s="20">
        <f t="shared" si="1"/>
        <v>46145</v>
      </c>
      <c r="E6" s="20">
        <f t="shared" si="1"/>
        <v>46146</v>
      </c>
      <c r="F6" s="20">
        <f t="shared" si="1"/>
        <v>46147</v>
      </c>
      <c r="G6" s="20">
        <f t="shared" si="1"/>
        <v>46148</v>
      </c>
      <c r="H6" s="20">
        <f t="shared" si="1"/>
        <v>46149</v>
      </c>
      <c r="I6" s="20">
        <f t="shared" si="1"/>
        <v>46150</v>
      </c>
      <c r="J6" s="20">
        <f t="shared" si="1"/>
        <v>46151</v>
      </c>
      <c r="K6" s="20">
        <f t="shared" si="1"/>
        <v>46152</v>
      </c>
      <c r="L6" s="20">
        <f t="shared" si="1"/>
        <v>46153</v>
      </c>
      <c r="M6" s="20">
        <f t="shared" si="1"/>
        <v>46154</v>
      </c>
      <c r="N6" s="20">
        <f t="shared" si="1"/>
        <v>46155</v>
      </c>
      <c r="O6" s="20">
        <f t="shared" si="1"/>
        <v>46156</v>
      </c>
      <c r="P6" s="20">
        <f t="shared" si="1"/>
        <v>46157</v>
      </c>
      <c r="Q6" s="20">
        <f t="shared" si="1"/>
        <v>46158</v>
      </c>
      <c r="R6" s="20">
        <f t="shared" si="1"/>
        <v>46159</v>
      </c>
      <c r="S6" s="20">
        <f t="shared" si="1"/>
        <v>46160</v>
      </c>
      <c r="T6" s="20">
        <f t="shared" si="1"/>
        <v>46161</v>
      </c>
      <c r="U6" s="20">
        <f t="shared" si="1"/>
        <v>46162</v>
      </c>
      <c r="V6" s="20">
        <f t="shared" si="1"/>
        <v>46163</v>
      </c>
      <c r="W6" s="20">
        <f t="shared" si="1"/>
        <v>46164</v>
      </c>
      <c r="X6" s="20">
        <f t="shared" si="1"/>
        <v>46165</v>
      </c>
      <c r="Y6" s="20">
        <f t="shared" si="1"/>
        <v>46166</v>
      </c>
      <c r="Z6" s="20">
        <f t="shared" si="1"/>
        <v>46167</v>
      </c>
      <c r="AA6" s="20">
        <f t="shared" si="1"/>
        <v>46168</v>
      </c>
      <c r="AB6" s="20">
        <f t="shared" si="1"/>
        <v>46169</v>
      </c>
      <c r="AC6" s="20">
        <f t="shared" si="1"/>
        <v>46170</v>
      </c>
      <c r="AD6" s="20">
        <f t="shared" si="1"/>
        <v>46171</v>
      </c>
      <c r="AE6" s="20">
        <f t="shared" si="1"/>
        <v>46172</v>
      </c>
      <c r="AF6" s="20">
        <f t="shared" si="1"/>
        <v>46173</v>
      </c>
      <c r="AG6" s="37"/>
      <c r="AH6" s="37"/>
      <c r="AI6" s="37"/>
      <c r="AJ6" s="37"/>
      <c r="AK6" s="37"/>
      <c r="AL6" s="37"/>
      <c r="AM6" s="37"/>
      <c r="AN6" s="37"/>
      <c r="AO6" s="37"/>
      <c r="AP6" s="37"/>
    </row>
    <row r="7" spans="1:42" ht="14.5" x14ac:dyDescent="0.35">
      <c r="A7" s="21" t="s">
        <v>52</v>
      </c>
      <c r="B7" s="21" t="s">
        <v>8</v>
      </c>
      <c r="C7" s="21" t="s">
        <v>54</v>
      </c>
      <c r="D7" s="21" t="s">
        <v>54</v>
      </c>
      <c r="E7" s="21" t="s">
        <v>53</v>
      </c>
      <c r="F7" s="21" t="s">
        <v>53</v>
      </c>
      <c r="G7" s="21" t="s">
        <v>53</v>
      </c>
      <c r="H7" s="21" t="s">
        <v>53</v>
      </c>
      <c r="I7" s="21" t="s">
        <v>53</v>
      </c>
      <c r="J7" s="21" t="s">
        <v>54</v>
      </c>
      <c r="K7" s="21" t="s">
        <v>54</v>
      </c>
      <c r="L7" s="21" t="s">
        <v>53</v>
      </c>
      <c r="M7" s="21" t="s">
        <v>53</v>
      </c>
      <c r="N7" s="21" t="s">
        <v>53</v>
      </c>
      <c r="O7" s="21" t="s">
        <v>53</v>
      </c>
      <c r="P7" s="21" t="s">
        <v>53</v>
      </c>
      <c r="Q7" s="21" t="s">
        <v>54</v>
      </c>
      <c r="R7" s="21" t="s">
        <v>54</v>
      </c>
      <c r="S7" s="21" t="s">
        <v>53</v>
      </c>
      <c r="T7" s="21" t="s">
        <v>53</v>
      </c>
      <c r="U7" s="21" t="s">
        <v>53</v>
      </c>
      <c r="V7" s="21" t="s">
        <v>53</v>
      </c>
      <c r="W7" s="21" t="s">
        <v>53</v>
      </c>
      <c r="X7" s="21" t="s">
        <v>54</v>
      </c>
      <c r="Y7" s="21" t="s">
        <v>54</v>
      </c>
      <c r="Z7" s="21" t="s">
        <v>53</v>
      </c>
      <c r="AA7" s="21" t="s">
        <v>53</v>
      </c>
      <c r="AB7" s="21" t="s">
        <v>53</v>
      </c>
      <c r="AC7" s="21" t="s">
        <v>53</v>
      </c>
      <c r="AD7" s="21" t="s">
        <v>53</v>
      </c>
      <c r="AE7" s="21" t="s">
        <v>54</v>
      </c>
      <c r="AF7" s="21" t="s">
        <v>54</v>
      </c>
      <c r="AG7" s="21">
        <f t="shared" ref="AG7:AG8" si="2">(COUNTIF(C7:AF7,"P*")+(0.5*COUNTIF(C7:AF7,"*HD*")))-(COUNTIF(C7:AF7,"*PL*"))</f>
        <v>20</v>
      </c>
      <c r="AH7" s="21">
        <f t="shared" ref="AH7:AH8" si="3">COUNTIF(C7:AF7,"PL")</f>
        <v>0</v>
      </c>
      <c r="AI7" s="21">
        <f t="shared" ref="AI7:AI8" si="4">COUNTIF(C7:AF7,"UL")+(0.5*COUNTIF(C7:AF7,"*HD*"))</f>
        <v>0</v>
      </c>
      <c r="AJ7" s="21">
        <f t="shared" ref="AJ7:AJ8" si="5">COUNTIF(C7:AF7,"LOP")</f>
        <v>0</v>
      </c>
      <c r="AK7" s="21">
        <f t="shared" ref="AK7:AK41" si="6">COUNTIFS(B7:AF7,"*P*",$B$4:$AF$4,"MH")</f>
        <v>0</v>
      </c>
      <c r="AL7" s="21">
        <f t="shared" ref="AL7:AL41" si="7">COUNTIFS(B7:AF7,"*P*",$B$4:$AF$4,"OH")</f>
        <v>1</v>
      </c>
      <c r="AM7" s="21">
        <f t="shared" ref="AM7:AM41" si="8">COUNTIFS(B7:AF7,"*P*",$B$4:$AF$4,"OH")+COUNTIFS(B7:AF7,"*P*",$B$4:$AF$4,"MH")</f>
        <v>1</v>
      </c>
      <c r="AN7" s="21">
        <f t="shared" ref="AN7:AN41" si="9">COUNTIF(B7:AF7,"OH")</f>
        <v>0</v>
      </c>
      <c r="AO7" s="21">
        <f t="shared" ref="AO7:AO8" si="10">COUNTIF(C7:AF7,"*LL*")</f>
        <v>0</v>
      </c>
      <c r="AP7" s="21">
        <f t="shared" ref="AP7:AP41" si="11">COUNTIFS(B7:AF7,"*WH*",$B$4:$AF$4,"&lt;&gt;"&amp;"MH")</f>
        <v>0</v>
      </c>
    </row>
    <row r="8" spans="1:42" ht="14.5" x14ac:dyDescent="0.35">
      <c r="A8" s="21" t="s">
        <v>55</v>
      </c>
      <c r="B8" s="21" t="s">
        <v>8</v>
      </c>
      <c r="C8" s="21" t="s">
        <v>54</v>
      </c>
      <c r="D8" s="21" t="s">
        <v>54</v>
      </c>
      <c r="E8" s="21" t="s">
        <v>53</v>
      </c>
      <c r="F8" s="21" t="s">
        <v>53</v>
      </c>
      <c r="G8" s="21" t="s">
        <v>53</v>
      </c>
      <c r="H8" s="21" t="s">
        <v>56</v>
      </c>
      <c r="I8" s="21" t="s">
        <v>93</v>
      </c>
      <c r="J8" s="21" t="s">
        <v>54</v>
      </c>
      <c r="K8" s="21" t="s">
        <v>54</v>
      </c>
      <c r="L8" s="21" t="s">
        <v>93</v>
      </c>
      <c r="M8" s="21" t="s">
        <v>56</v>
      </c>
      <c r="N8" s="21" t="s">
        <v>56</v>
      </c>
      <c r="O8" s="21" t="s">
        <v>56</v>
      </c>
      <c r="P8" s="21" t="s">
        <v>56</v>
      </c>
      <c r="Q8" s="21" t="s">
        <v>54</v>
      </c>
      <c r="R8" s="21" t="s">
        <v>54</v>
      </c>
      <c r="S8" s="21" t="s">
        <v>93</v>
      </c>
      <c r="T8" s="21" t="s">
        <v>53</v>
      </c>
      <c r="U8" s="21" t="s">
        <v>56</v>
      </c>
      <c r="V8" s="21" t="s">
        <v>53</v>
      </c>
      <c r="W8" s="21" t="s">
        <v>53</v>
      </c>
      <c r="X8" s="21" t="s">
        <v>54</v>
      </c>
      <c r="Y8" s="21" t="s">
        <v>54</v>
      </c>
      <c r="Z8" s="21" t="s">
        <v>56</v>
      </c>
      <c r="AA8" s="21" t="s">
        <v>56</v>
      </c>
      <c r="AB8" s="21" t="s">
        <v>56</v>
      </c>
      <c r="AC8" s="21"/>
      <c r="AD8" s="21" t="s">
        <v>22</v>
      </c>
      <c r="AE8" s="21" t="s">
        <v>54</v>
      </c>
      <c r="AF8" s="21" t="s">
        <v>54</v>
      </c>
      <c r="AG8" s="21">
        <f t="shared" si="2"/>
        <v>15.5</v>
      </c>
      <c r="AH8" s="21">
        <f t="shared" si="3"/>
        <v>0</v>
      </c>
      <c r="AI8" s="21">
        <f t="shared" si="4"/>
        <v>0.5</v>
      </c>
      <c r="AJ8" s="21">
        <f t="shared" si="5"/>
        <v>0</v>
      </c>
      <c r="AK8" s="21">
        <f t="shared" si="6"/>
        <v>0</v>
      </c>
      <c r="AL8" s="21">
        <f t="shared" si="7"/>
        <v>0</v>
      </c>
      <c r="AM8" s="21">
        <f t="shared" si="8"/>
        <v>0</v>
      </c>
      <c r="AN8" s="21">
        <f t="shared" si="9"/>
        <v>0</v>
      </c>
      <c r="AO8" s="21">
        <f t="shared" si="10"/>
        <v>9</v>
      </c>
      <c r="AP8" s="21">
        <f t="shared" si="11"/>
        <v>0</v>
      </c>
    </row>
    <row r="9" spans="1:42" ht="14.5" x14ac:dyDescent="0.35">
      <c r="A9" s="21" t="s">
        <v>57</v>
      </c>
      <c r="B9" s="21" t="s">
        <v>8</v>
      </c>
      <c r="C9" s="21" t="s">
        <v>53</v>
      </c>
      <c r="D9" s="21" t="s">
        <v>53</v>
      </c>
      <c r="E9" s="21" t="s">
        <v>53</v>
      </c>
      <c r="F9" s="21" t="s">
        <v>53</v>
      </c>
      <c r="G9" s="21" t="s">
        <v>56</v>
      </c>
      <c r="H9" s="21" t="s">
        <v>53</v>
      </c>
      <c r="I9" s="21" t="s">
        <v>53</v>
      </c>
      <c r="J9" s="21" t="s">
        <v>54</v>
      </c>
      <c r="K9" s="21" t="s">
        <v>54</v>
      </c>
      <c r="L9" s="21" t="s">
        <v>19</v>
      </c>
      <c r="M9" s="21" t="s">
        <v>16</v>
      </c>
      <c r="N9" s="21" t="s">
        <v>16</v>
      </c>
      <c r="O9" s="21" t="s">
        <v>56</v>
      </c>
      <c r="P9" s="21" t="s">
        <v>19</v>
      </c>
      <c r="Q9" s="21" t="s">
        <v>54</v>
      </c>
      <c r="R9" s="21" t="s">
        <v>54</v>
      </c>
      <c r="S9" s="21" t="s">
        <v>53</v>
      </c>
      <c r="T9" s="21" t="s">
        <v>56</v>
      </c>
      <c r="U9" s="21" t="s">
        <v>53</v>
      </c>
      <c r="V9" s="21" t="s">
        <v>53</v>
      </c>
      <c r="W9" s="21" t="s">
        <v>53</v>
      </c>
      <c r="X9" s="21" t="s">
        <v>54</v>
      </c>
      <c r="Y9" s="21" t="s">
        <v>54</v>
      </c>
      <c r="Z9" s="21" t="s">
        <v>16</v>
      </c>
      <c r="AA9" s="21" t="s">
        <v>16</v>
      </c>
      <c r="AB9" s="21" t="s">
        <v>16</v>
      </c>
      <c r="AC9" s="21" t="s">
        <v>4</v>
      </c>
      <c r="AD9" s="21" t="s">
        <v>16</v>
      </c>
      <c r="AE9" s="21" t="s">
        <v>54</v>
      </c>
      <c r="AF9" s="21" t="s">
        <v>54</v>
      </c>
      <c r="AG9" s="21">
        <f t="shared" ref="AG9:AG41" si="12">(COUNTIF(B9:AF9,"P*")+(0.5*COUNTIF(B9:AF9,"*HD*")))-(COUNTIF(B9:AF9,"*PL*"))</f>
        <v>13</v>
      </c>
      <c r="AH9" s="21">
        <f t="shared" ref="AH9:AH41" si="13">COUNTIF(B9:AF9,"PL")</f>
        <v>6</v>
      </c>
      <c r="AI9" s="21">
        <f t="shared" ref="AI9:AI41" si="14">COUNTIF(B9:AF9,"UL")+(0.5*COUNTIF(B9:AF9,"*HD*"))</f>
        <v>2</v>
      </c>
      <c r="AJ9" s="21">
        <f t="shared" ref="AJ9:AJ41" si="15">COUNTIF(B9:AF9,"LOP")</f>
        <v>0</v>
      </c>
      <c r="AK9" s="21">
        <f t="shared" si="6"/>
        <v>0</v>
      </c>
      <c r="AL9" s="21">
        <f t="shared" si="7"/>
        <v>0</v>
      </c>
      <c r="AM9" s="21">
        <f t="shared" si="8"/>
        <v>0</v>
      </c>
      <c r="AN9" s="21">
        <f t="shared" si="9"/>
        <v>1</v>
      </c>
      <c r="AO9" s="21">
        <f t="shared" ref="AO9:AO41" si="16">COUNTIF(B9:AF9,"*LL*")</f>
        <v>3</v>
      </c>
      <c r="AP9" s="21">
        <f t="shared" si="11"/>
        <v>0</v>
      </c>
    </row>
    <row r="10" spans="1:42" ht="14.5" x14ac:dyDescent="0.35">
      <c r="A10" s="21" t="s">
        <v>58</v>
      </c>
      <c r="B10" s="21" t="s">
        <v>8</v>
      </c>
      <c r="C10" s="21" t="s">
        <v>54</v>
      </c>
      <c r="D10" s="21" t="s">
        <v>54</v>
      </c>
      <c r="E10" s="21" t="s">
        <v>53</v>
      </c>
      <c r="F10" s="21" t="s">
        <v>53</v>
      </c>
      <c r="G10" s="21" t="s">
        <v>56</v>
      </c>
      <c r="H10" s="21" t="s">
        <v>56</v>
      </c>
      <c r="I10" s="21" t="s">
        <v>56</v>
      </c>
      <c r="J10" s="21" t="s">
        <v>54</v>
      </c>
      <c r="K10" s="21" t="s">
        <v>54</v>
      </c>
      <c r="L10" s="21" t="s">
        <v>56</v>
      </c>
      <c r="M10" s="21" t="s">
        <v>19</v>
      </c>
      <c r="N10" s="21" t="s">
        <v>53</v>
      </c>
      <c r="O10" s="21" t="s">
        <v>56</v>
      </c>
      <c r="P10" s="21" t="s">
        <v>56</v>
      </c>
      <c r="Q10" s="21" t="s">
        <v>54</v>
      </c>
      <c r="R10" s="21" t="s">
        <v>54</v>
      </c>
      <c r="S10" s="21" t="s">
        <v>56</v>
      </c>
      <c r="T10" s="21" t="s">
        <v>56</v>
      </c>
      <c r="U10" s="21" t="s">
        <v>56</v>
      </c>
      <c r="V10" s="21" t="s">
        <v>56</v>
      </c>
      <c r="W10" s="21" t="s">
        <v>53</v>
      </c>
      <c r="X10" s="21" t="s">
        <v>54</v>
      </c>
      <c r="Y10" s="21" t="s">
        <v>54</v>
      </c>
      <c r="Z10" s="21" t="s">
        <v>16</v>
      </c>
      <c r="AA10" s="21" t="s">
        <v>16</v>
      </c>
      <c r="AB10" s="21" t="s">
        <v>16</v>
      </c>
      <c r="AC10" s="21" t="s">
        <v>4</v>
      </c>
      <c r="AD10" s="21" t="s">
        <v>16</v>
      </c>
      <c r="AE10" s="21" t="s">
        <v>54</v>
      </c>
      <c r="AF10" s="21" t="s">
        <v>54</v>
      </c>
      <c r="AG10" s="21">
        <f t="shared" si="12"/>
        <v>14</v>
      </c>
      <c r="AH10" s="21">
        <f t="shared" si="13"/>
        <v>4</v>
      </c>
      <c r="AI10" s="21">
        <f t="shared" si="14"/>
        <v>1</v>
      </c>
      <c r="AJ10" s="21">
        <f t="shared" si="15"/>
        <v>0</v>
      </c>
      <c r="AK10" s="21">
        <f t="shared" si="6"/>
        <v>0</v>
      </c>
      <c r="AL10" s="21">
        <f t="shared" si="7"/>
        <v>0</v>
      </c>
      <c r="AM10" s="21">
        <f t="shared" si="8"/>
        <v>0</v>
      </c>
      <c r="AN10" s="21">
        <f t="shared" si="9"/>
        <v>1</v>
      </c>
      <c r="AO10" s="21">
        <f t="shared" si="16"/>
        <v>10</v>
      </c>
      <c r="AP10" s="21">
        <f t="shared" si="11"/>
        <v>0</v>
      </c>
    </row>
    <row r="11" spans="1:42" ht="14.5" x14ac:dyDescent="0.35">
      <c r="A11" s="21" t="s">
        <v>59</v>
      </c>
      <c r="B11" s="21" t="s">
        <v>8</v>
      </c>
      <c r="C11" s="21" t="s">
        <v>53</v>
      </c>
      <c r="D11" s="21" t="s">
        <v>53</v>
      </c>
      <c r="E11" s="21" t="s">
        <v>53</v>
      </c>
      <c r="F11" s="21" t="s">
        <v>54</v>
      </c>
      <c r="G11" s="21" t="s">
        <v>53</v>
      </c>
      <c r="H11" s="21" t="s">
        <v>53</v>
      </c>
      <c r="I11" s="21" t="s">
        <v>53</v>
      </c>
      <c r="J11" s="21" t="s">
        <v>53</v>
      </c>
      <c r="K11" s="21" t="s">
        <v>54</v>
      </c>
      <c r="L11" s="21" t="s">
        <v>53</v>
      </c>
      <c r="M11" s="21" t="s">
        <v>53</v>
      </c>
      <c r="N11" s="21" t="s">
        <v>53</v>
      </c>
      <c r="O11" s="21" t="s">
        <v>53</v>
      </c>
      <c r="P11" s="21" t="s">
        <v>53</v>
      </c>
      <c r="Q11" s="21" t="s">
        <v>54</v>
      </c>
      <c r="R11" s="21" t="s">
        <v>54</v>
      </c>
      <c r="S11" s="21" t="s">
        <v>53</v>
      </c>
      <c r="T11" s="21" t="s">
        <v>53</v>
      </c>
      <c r="U11" s="21" t="s">
        <v>53</v>
      </c>
      <c r="V11" s="21" t="s">
        <v>53</v>
      </c>
      <c r="W11" s="21" t="s">
        <v>53</v>
      </c>
      <c r="X11" s="21" t="s">
        <v>54</v>
      </c>
      <c r="Y11" s="21" t="s">
        <v>54</v>
      </c>
      <c r="Z11" s="21" t="s">
        <v>53</v>
      </c>
      <c r="AA11" s="21" t="s">
        <v>53</v>
      </c>
      <c r="AB11" s="21" t="s">
        <v>53</v>
      </c>
      <c r="AC11" s="21" t="s">
        <v>4</v>
      </c>
      <c r="AD11" s="21" t="s">
        <v>16</v>
      </c>
      <c r="AE11" s="21" t="s">
        <v>54</v>
      </c>
      <c r="AF11" s="21" t="s">
        <v>54</v>
      </c>
      <c r="AG11" s="21">
        <f t="shared" si="12"/>
        <v>20</v>
      </c>
      <c r="AH11" s="21">
        <f t="shared" si="13"/>
        <v>1</v>
      </c>
      <c r="AI11" s="21">
        <f t="shared" si="14"/>
        <v>0</v>
      </c>
      <c r="AJ11" s="21">
        <f t="shared" si="15"/>
        <v>0</v>
      </c>
      <c r="AK11" s="21">
        <f t="shared" si="6"/>
        <v>0</v>
      </c>
      <c r="AL11" s="21">
        <f t="shared" si="7"/>
        <v>0</v>
      </c>
      <c r="AM11" s="21">
        <f t="shared" si="8"/>
        <v>0</v>
      </c>
      <c r="AN11" s="21">
        <f t="shared" si="9"/>
        <v>1</v>
      </c>
      <c r="AO11" s="21">
        <f t="shared" si="16"/>
        <v>0</v>
      </c>
      <c r="AP11" s="21">
        <f t="shared" si="11"/>
        <v>0</v>
      </c>
    </row>
    <row r="12" spans="1:42" ht="14.5" x14ac:dyDescent="0.35">
      <c r="A12" s="21" t="s">
        <v>60</v>
      </c>
      <c r="B12" s="21" t="s">
        <v>8</v>
      </c>
      <c r="C12" s="21" t="s">
        <v>62</v>
      </c>
      <c r="D12" s="21" t="s">
        <v>53</v>
      </c>
      <c r="E12" s="21" t="s">
        <v>62</v>
      </c>
      <c r="F12" s="21" t="s">
        <v>53</v>
      </c>
      <c r="G12" s="21" t="s">
        <v>53</v>
      </c>
      <c r="H12" s="21" t="s">
        <v>16</v>
      </c>
      <c r="I12" s="21" t="s">
        <v>16</v>
      </c>
      <c r="J12" s="21" t="s">
        <v>54</v>
      </c>
      <c r="K12" s="21" t="s">
        <v>54</v>
      </c>
      <c r="L12" s="21" t="s">
        <v>53</v>
      </c>
      <c r="M12" s="21" t="s">
        <v>53</v>
      </c>
      <c r="N12" s="21" t="s">
        <v>53</v>
      </c>
      <c r="O12" s="21" t="s">
        <v>53</v>
      </c>
      <c r="P12" s="21" t="s">
        <v>53</v>
      </c>
      <c r="Q12" s="21" t="s">
        <v>54</v>
      </c>
      <c r="R12" s="21" t="s">
        <v>54</v>
      </c>
      <c r="S12" s="21" t="s">
        <v>56</v>
      </c>
      <c r="T12" s="21" t="s">
        <v>19</v>
      </c>
      <c r="U12" s="21" t="s">
        <v>56</v>
      </c>
      <c r="V12" s="21" t="s">
        <v>56</v>
      </c>
      <c r="W12" s="21" t="s">
        <v>53</v>
      </c>
      <c r="X12" s="21" t="s">
        <v>54</v>
      </c>
      <c r="Y12" s="21" t="s">
        <v>54</v>
      </c>
      <c r="Z12" s="21" t="s">
        <v>53</v>
      </c>
      <c r="AA12" s="21" t="s">
        <v>53</v>
      </c>
      <c r="AB12" s="21" t="s">
        <v>53</v>
      </c>
      <c r="AC12" s="21" t="s">
        <v>53</v>
      </c>
      <c r="AD12" s="21" t="s">
        <v>53</v>
      </c>
      <c r="AE12" s="21" t="s">
        <v>54</v>
      </c>
      <c r="AF12" s="21" t="s">
        <v>54</v>
      </c>
      <c r="AG12" s="21">
        <f t="shared" si="12"/>
        <v>19</v>
      </c>
      <c r="AH12" s="21">
        <f t="shared" si="13"/>
        <v>2</v>
      </c>
      <c r="AI12" s="21">
        <f t="shared" si="14"/>
        <v>1</v>
      </c>
      <c r="AJ12" s="21">
        <f t="shared" si="15"/>
        <v>0</v>
      </c>
      <c r="AK12" s="21">
        <f t="shared" si="6"/>
        <v>0</v>
      </c>
      <c r="AL12" s="21">
        <f t="shared" si="7"/>
        <v>1</v>
      </c>
      <c r="AM12" s="21">
        <f t="shared" si="8"/>
        <v>1</v>
      </c>
      <c r="AN12" s="21">
        <f t="shared" si="9"/>
        <v>0</v>
      </c>
      <c r="AO12" s="21">
        <f t="shared" si="16"/>
        <v>3</v>
      </c>
      <c r="AP12" s="21">
        <f t="shared" si="11"/>
        <v>2</v>
      </c>
    </row>
    <row r="13" spans="1:42" ht="14.5" x14ac:dyDescent="0.35">
      <c r="A13" s="21" t="s">
        <v>61</v>
      </c>
      <c r="B13" s="21" t="s">
        <v>8</v>
      </c>
      <c r="C13" s="21" t="s">
        <v>54</v>
      </c>
      <c r="D13" s="21" t="s">
        <v>54</v>
      </c>
      <c r="E13" s="21" t="s">
        <v>56</v>
      </c>
      <c r="F13" s="21" t="s">
        <v>53</v>
      </c>
      <c r="G13" s="21" t="s">
        <v>56</v>
      </c>
      <c r="H13" s="21" t="s">
        <v>56</v>
      </c>
      <c r="I13" s="21" t="s">
        <v>56</v>
      </c>
      <c r="J13" s="21" t="s">
        <v>54</v>
      </c>
      <c r="K13" s="21" t="s">
        <v>54</v>
      </c>
      <c r="L13" s="21" t="s">
        <v>16</v>
      </c>
      <c r="M13" s="21" t="s">
        <v>62</v>
      </c>
      <c r="N13" s="21" t="s">
        <v>62</v>
      </c>
      <c r="O13" s="21" t="s">
        <v>62</v>
      </c>
      <c r="P13" s="21" t="s">
        <v>62</v>
      </c>
      <c r="Q13" s="21" t="s">
        <v>54</v>
      </c>
      <c r="R13" s="21" t="s">
        <v>54</v>
      </c>
      <c r="S13" s="21" t="s">
        <v>62</v>
      </c>
      <c r="T13" s="21" t="s">
        <v>62</v>
      </c>
      <c r="U13" s="21" t="s">
        <v>62</v>
      </c>
      <c r="V13" s="21" t="s">
        <v>56</v>
      </c>
      <c r="W13" s="21" t="s">
        <v>56</v>
      </c>
      <c r="X13" s="21" t="s">
        <v>54</v>
      </c>
      <c r="Y13" s="21" t="s">
        <v>54</v>
      </c>
      <c r="Z13" s="21" t="s">
        <v>53</v>
      </c>
      <c r="AA13" s="21" t="s">
        <v>53</v>
      </c>
      <c r="AB13" s="21" t="s">
        <v>56</v>
      </c>
      <c r="AC13" s="21" t="s">
        <v>53</v>
      </c>
      <c r="AD13" s="21" t="s">
        <v>53</v>
      </c>
      <c r="AE13" s="21" t="s">
        <v>54</v>
      </c>
      <c r="AF13" s="21" t="s">
        <v>54</v>
      </c>
      <c r="AG13" s="21">
        <f t="shared" si="12"/>
        <v>19</v>
      </c>
      <c r="AH13" s="21">
        <f t="shared" si="13"/>
        <v>1</v>
      </c>
      <c r="AI13" s="21">
        <f t="shared" si="14"/>
        <v>0</v>
      </c>
      <c r="AJ13" s="21">
        <f t="shared" si="15"/>
        <v>0</v>
      </c>
      <c r="AK13" s="21">
        <f t="shared" si="6"/>
        <v>0</v>
      </c>
      <c r="AL13" s="21">
        <f t="shared" si="7"/>
        <v>1</v>
      </c>
      <c r="AM13" s="21">
        <f t="shared" si="8"/>
        <v>1</v>
      </c>
      <c r="AN13" s="21">
        <f t="shared" si="9"/>
        <v>0</v>
      </c>
      <c r="AO13" s="21">
        <f t="shared" si="16"/>
        <v>7</v>
      </c>
      <c r="AP13" s="21">
        <f t="shared" si="11"/>
        <v>7</v>
      </c>
    </row>
    <row r="14" spans="1:42" ht="14.5" hidden="1" x14ac:dyDescent="0.35">
      <c r="A14" s="22" t="s">
        <v>63</v>
      </c>
      <c r="B14" s="16" t="s">
        <v>8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>
        <f t="shared" si="12"/>
        <v>0</v>
      </c>
      <c r="AH14" s="21">
        <f t="shared" si="13"/>
        <v>0</v>
      </c>
      <c r="AI14" s="21">
        <f t="shared" si="14"/>
        <v>0</v>
      </c>
      <c r="AJ14" s="21">
        <f t="shared" si="15"/>
        <v>0</v>
      </c>
      <c r="AK14" s="21">
        <f t="shared" si="6"/>
        <v>0</v>
      </c>
      <c r="AL14" s="21">
        <f t="shared" si="7"/>
        <v>0</v>
      </c>
      <c r="AM14" s="21">
        <f t="shared" si="8"/>
        <v>0</v>
      </c>
      <c r="AN14" s="21">
        <f t="shared" si="9"/>
        <v>0</v>
      </c>
      <c r="AO14" s="21">
        <f t="shared" si="16"/>
        <v>0</v>
      </c>
      <c r="AP14" s="21">
        <f t="shared" si="11"/>
        <v>0</v>
      </c>
    </row>
    <row r="15" spans="1:42" ht="14.5" x14ac:dyDescent="0.35">
      <c r="A15" s="21" t="s">
        <v>64</v>
      </c>
      <c r="B15" s="21" t="s">
        <v>8</v>
      </c>
      <c r="C15" s="21" t="s">
        <v>54</v>
      </c>
      <c r="D15" s="21" t="s">
        <v>54</v>
      </c>
      <c r="E15" s="21" t="s">
        <v>22</v>
      </c>
      <c r="F15" s="21" t="s">
        <v>53</v>
      </c>
      <c r="G15" s="21" t="s">
        <v>53</v>
      </c>
      <c r="H15" s="21" t="s">
        <v>54</v>
      </c>
      <c r="I15" s="21" t="s">
        <v>54</v>
      </c>
      <c r="J15" s="21" t="s">
        <v>56</v>
      </c>
      <c r="K15" s="21" t="s">
        <v>53</v>
      </c>
      <c r="L15" s="21" t="s">
        <v>53</v>
      </c>
      <c r="M15" s="21" t="s">
        <v>56</v>
      </c>
      <c r="N15" s="21" t="s">
        <v>53</v>
      </c>
      <c r="O15" s="21" t="s">
        <v>54</v>
      </c>
      <c r="P15" s="21" t="s">
        <v>54</v>
      </c>
      <c r="Q15" s="21" t="s">
        <v>53</v>
      </c>
      <c r="R15" s="21" t="s">
        <v>53</v>
      </c>
      <c r="S15" s="21" t="s">
        <v>53</v>
      </c>
      <c r="T15" s="21" t="s">
        <v>53</v>
      </c>
      <c r="U15" s="21" t="s">
        <v>53</v>
      </c>
      <c r="V15" s="21" t="s">
        <v>54</v>
      </c>
      <c r="W15" s="21" t="s">
        <v>54</v>
      </c>
      <c r="X15" s="21" t="s">
        <v>62</v>
      </c>
      <c r="Y15" s="21" t="s">
        <v>62</v>
      </c>
      <c r="Z15" s="21" t="s">
        <v>53</v>
      </c>
      <c r="AA15" s="21" t="s">
        <v>56</v>
      </c>
      <c r="AB15" s="21" t="s">
        <v>53</v>
      </c>
      <c r="AC15" s="21" t="s">
        <v>54</v>
      </c>
      <c r="AD15" s="21" t="s">
        <v>54</v>
      </c>
      <c r="AE15" s="21" t="s">
        <v>62</v>
      </c>
      <c r="AF15" s="21" t="s">
        <v>62</v>
      </c>
      <c r="AG15" s="21">
        <f t="shared" si="12"/>
        <v>19.5</v>
      </c>
      <c r="AH15" s="21">
        <f t="shared" si="13"/>
        <v>0</v>
      </c>
      <c r="AI15" s="21">
        <f t="shared" si="14"/>
        <v>0.5</v>
      </c>
      <c r="AJ15" s="21">
        <f t="shared" si="15"/>
        <v>0</v>
      </c>
      <c r="AK15" s="21">
        <f t="shared" si="6"/>
        <v>0</v>
      </c>
      <c r="AL15" s="21">
        <f t="shared" si="7"/>
        <v>0</v>
      </c>
      <c r="AM15" s="21">
        <f t="shared" si="8"/>
        <v>0</v>
      </c>
      <c r="AN15" s="21">
        <f t="shared" si="9"/>
        <v>0</v>
      </c>
      <c r="AO15" s="21">
        <f t="shared" si="16"/>
        <v>3</v>
      </c>
      <c r="AP15" s="21">
        <f t="shared" si="11"/>
        <v>4</v>
      </c>
    </row>
    <row r="16" spans="1:42" ht="14.5" x14ac:dyDescent="0.35">
      <c r="A16" s="21" t="s">
        <v>65</v>
      </c>
      <c r="B16" s="21" t="s">
        <v>8</v>
      </c>
      <c r="C16" s="21" t="s">
        <v>54</v>
      </c>
      <c r="D16" s="21" t="s">
        <v>54</v>
      </c>
      <c r="E16" s="21" t="s">
        <v>54</v>
      </c>
      <c r="F16" s="21" t="s">
        <v>54</v>
      </c>
      <c r="G16" s="21" t="s">
        <v>53</v>
      </c>
      <c r="H16" s="21" t="s">
        <v>53</v>
      </c>
      <c r="I16" s="21" t="s">
        <v>53</v>
      </c>
      <c r="J16" s="21" t="s">
        <v>53</v>
      </c>
      <c r="K16" s="21" t="s">
        <v>56</v>
      </c>
      <c r="L16" s="21" t="s">
        <v>54</v>
      </c>
      <c r="M16" s="21" t="s">
        <v>54</v>
      </c>
      <c r="N16" s="21" t="s">
        <v>53</v>
      </c>
      <c r="O16" s="21" t="s">
        <v>56</v>
      </c>
      <c r="P16" s="21" t="s">
        <v>53</v>
      </c>
      <c r="Q16" s="21" t="s">
        <v>53</v>
      </c>
      <c r="R16" s="21" t="s">
        <v>53</v>
      </c>
      <c r="S16" s="21" t="s">
        <v>54</v>
      </c>
      <c r="T16" s="21" t="s">
        <v>54</v>
      </c>
      <c r="U16" s="21" t="s">
        <v>53</v>
      </c>
      <c r="V16" s="21" t="s">
        <v>53</v>
      </c>
      <c r="W16" s="21" t="s">
        <v>53</v>
      </c>
      <c r="X16" s="21" t="s">
        <v>62</v>
      </c>
      <c r="Y16" s="21" t="s">
        <v>62</v>
      </c>
      <c r="Z16" s="21" t="s">
        <v>54</v>
      </c>
      <c r="AA16" s="21" t="s">
        <v>54</v>
      </c>
      <c r="AB16" s="21" t="s">
        <v>53</v>
      </c>
      <c r="AC16" s="21" t="s">
        <v>4</v>
      </c>
      <c r="AD16" s="21" t="s">
        <v>53</v>
      </c>
      <c r="AE16" s="21" t="s">
        <v>62</v>
      </c>
      <c r="AF16" s="21" t="s">
        <v>62</v>
      </c>
      <c r="AG16" s="21">
        <f t="shared" si="12"/>
        <v>19</v>
      </c>
      <c r="AH16" s="21">
        <f t="shared" si="13"/>
        <v>0</v>
      </c>
      <c r="AI16" s="21">
        <f t="shared" si="14"/>
        <v>0</v>
      </c>
      <c r="AJ16" s="21">
        <f t="shared" si="15"/>
        <v>0</v>
      </c>
      <c r="AK16" s="21">
        <f t="shared" si="6"/>
        <v>0</v>
      </c>
      <c r="AL16" s="21">
        <f t="shared" si="7"/>
        <v>0</v>
      </c>
      <c r="AM16" s="21">
        <f t="shared" si="8"/>
        <v>0</v>
      </c>
      <c r="AN16" s="21">
        <f t="shared" si="9"/>
        <v>1</v>
      </c>
      <c r="AO16" s="21">
        <f t="shared" si="16"/>
        <v>2</v>
      </c>
      <c r="AP16" s="21">
        <f t="shared" si="11"/>
        <v>4</v>
      </c>
    </row>
    <row r="17" spans="1:42" ht="14.5" x14ac:dyDescent="0.35">
      <c r="A17" s="21" t="s">
        <v>66</v>
      </c>
      <c r="B17" s="21" t="s">
        <v>8</v>
      </c>
      <c r="C17" s="21" t="s">
        <v>54</v>
      </c>
      <c r="D17" s="21" t="s">
        <v>54</v>
      </c>
      <c r="E17" s="21" t="s">
        <v>67</v>
      </c>
      <c r="F17" s="21" t="s">
        <v>67</v>
      </c>
      <c r="G17" s="21" t="s">
        <v>67</v>
      </c>
      <c r="H17" s="21" t="s">
        <v>67</v>
      </c>
      <c r="I17" s="21" t="s">
        <v>67</v>
      </c>
      <c r="J17" s="21" t="s">
        <v>54</v>
      </c>
      <c r="K17" s="21" t="s">
        <v>54</v>
      </c>
      <c r="L17" s="21" t="s">
        <v>67</v>
      </c>
      <c r="M17" s="21" t="s">
        <v>67</v>
      </c>
      <c r="N17" s="21" t="s">
        <v>67</v>
      </c>
      <c r="O17" s="21" t="s">
        <v>67</v>
      </c>
      <c r="P17" s="21" t="s">
        <v>67</v>
      </c>
      <c r="Q17" s="21" t="s">
        <v>54</v>
      </c>
      <c r="R17" s="21" t="s">
        <v>54</v>
      </c>
      <c r="S17" s="21" t="s">
        <v>67</v>
      </c>
      <c r="T17" s="21" t="s">
        <v>67</v>
      </c>
      <c r="U17" s="21" t="s">
        <v>67</v>
      </c>
      <c r="V17" s="21" t="s">
        <v>67</v>
      </c>
      <c r="W17" s="21" t="s">
        <v>67</v>
      </c>
      <c r="X17" s="21" t="s">
        <v>54</v>
      </c>
      <c r="Y17" s="21" t="s">
        <v>54</v>
      </c>
      <c r="Z17" s="21" t="s">
        <v>67</v>
      </c>
      <c r="AA17" s="21" t="s">
        <v>67</v>
      </c>
      <c r="AB17" s="21" t="s">
        <v>67</v>
      </c>
      <c r="AC17" s="21" t="s">
        <v>67</v>
      </c>
      <c r="AD17" s="21" t="s">
        <v>67</v>
      </c>
      <c r="AE17" s="21" t="s">
        <v>54</v>
      </c>
      <c r="AF17" s="21" t="s">
        <v>54</v>
      </c>
      <c r="AG17" s="21">
        <f t="shared" si="12"/>
        <v>0</v>
      </c>
      <c r="AH17" s="21">
        <f t="shared" si="13"/>
        <v>0</v>
      </c>
      <c r="AI17" s="21">
        <f t="shared" si="14"/>
        <v>0</v>
      </c>
      <c r="AJ17" s="21">
        <f t="shared" si="15"/>
        <v>0</v>
      </c>
      <c r="AK17" s="21">
        <f t="shared" si="6"/>
        <v>0</v>
      </c>
      <c r="AL17" s="21">
        <f t="shared" si="7"/>
        <v>0</v>
      </c>
      <c r="AM17" s="21">
        <f t="shared" si="8"/>
        <v>0</v>
      </c>
      <c r="AN17" s="21">
        <f t="shared" si="9"/>
        <v>0</v>
      </c>
      <c r="AO17" s="21">
        <f t="shared" si="16"/>
        <v>0</v>
      </c>
      <c r="AP17" s="21">
        <f t="shared" si="11"/>
        <v>0</v>
      </c>
    </row>
    <row r="18" spans="1:42" ht="14.5" x14ac:dyDescent="0.35">
      <c r="A18" s="21" t="s">
        <v>68</v>
      </c>
      <c r="B18" s="21" t="s">
        <v>8</v>
      </c>
      <c r="C18" s="21" t="s">
        <v>54</v>
      </c>
      <c r="D18" s="21" t="s">
        <v>54</v>
      </c>
      <c r="E18" s="21" t="s">
        <v>54</v>
      </c>
      <c r="F18" s="21" t="s">
        <v>54</v>
      </c>
      <c r="G18" s="21" t="s">
        <v>53</v>
      </c>
      <c r="H18" s="21" t="s">
        <v>53</v>
      </c>
      <c r="I18" s="21" t="s">
        <v>53</v>
      </c>
      <c r="J18" s="21" t="s">
        <v>53</v>
      </c>
      <c r="K18" s="21" t="s">
        <v>19</v>
      </c>
      <c r="L18" s="21" t="s">
        <v>54</v>
      </c>
      <c r="M18" s="21" t="s">
        <v>54</v>
      </c>
      <c r="N18" s="21" t="s">
        <v>56</v>
      </c>
      <c r="O18" s="21" t="s">
        <v>53</v>
      </c>
      <c r="P18" s="21" t="s">
        <v>16</v>
      </c>
      <c r="Q18" s="21" t="s">
        <v>16</v>
      </c>
      <c r="R18" s="21" t="s">
        <v>16</v>
      </c>
      <c r="S18" s="21" t="s">
        <v>54</v>
      </c>
      <c r="T18" s="21" t="s">
        <v>54</v>
      </c>
      <c r="U18" s="21" t="s">
        <v>53</v>
      </c>
      <c r="V18" s="21" t="s">
        <v>56</v>
      </c>
      <c r="W18" s="21" t="s">
        <v>56</v>
      </c>
      <c r="X18" s="21" t="s">
        <v>62</v>
      </c>
      <c r="Y18" s="21" t="s">
        <v>62</v>
      </c>
      <c r="Z18" s="21" t="s">
        <v>54</v>
      </c>
      <c r="AA18" s="21" t="s">
        <v>54</v>
      </c>
      <c r="AB18" s="21" t="s">
        <v>53</v>
      </c>
      <c r="AC18" s="21" t="s">
        <v>53</v>
      </c>
      <c r="AD18" s="21" t="s">
        <v>53</v>
      </c>
      <c r="AE18" s="21" t="s">
        <v>62</v>
      </c>
      <c r="AF18" s="21" t="s">
        <v>62</v>
      </c>
      <c r="AG18" s="21">
        <f t="shared" si="12"/>
        <v>16</v>
      </c>
      <c r="AH18" s="21">
        <f t="shared" si="13"/>
        <v>3</v>
      </c>
      <c r="AI18" s="21">
        <f t="shared" si="14"/>
        <v>1</v>
      </c>
      <c r="AJ18" s="21">
        <f t="shared" si="15"/>
        <v>0</v>
      </c>
      <c r="AK18" s="21">
        <f t="shared" si="6"/>
        <v>0</v>
      </c>
      <c r="AL18" s="21">
        <f t="shared" si="7"/>
        <v>1</v>
      </c>
      <c r="AM18" s="21">
        <f t="shared" si="8"/>
        <v>1</v>
      </c>
      <c r="AN18" s="21">
        <f t="shared" si="9"/>
        <v>0</v>
      </c>
      <c r="AO18" s="21">
        <f t="shared" si="16"/>
        <v>3</v>
      </c>
      <c r="AP18" s="21">
        <f t="shared" si="11"/>
        <v>4</v>
      </c>
    </row>
    <row r="19" spans="1:42" ht="14.5" x14ac:dyDescent="0.35">
      <c r="A19" s="21" t="s">
        <v>69</v>
      </c>
      <c r="B19" s="21" t="s">
        <v>8</v>
      </c>
      <c r="C19" s="21" t="s">
        <v>54</v>
      </c>
      <c r="D19" s="21" t="s">
        <v>54</v>
      </c>
      <c r="E19" s="21" t="s">
        <v>54</v>
      </c>
      <c r="F19" s="21" t="s">
        <v>53</v>
      </c>
      <c r="G19" s="21" t="s">
        <v>53</v>
      </c>
      <c r="H19" s="21" t="s">
        <v>53</v>
      </c>
      <c r="I19" s="21" t="s">
        <v>53</v>
      </c>
      <c r="J19" s="21" t="s">
        <v>56</v>
      </c>
      <c r="K19" s="21" t="s">
        <v>54</v>
      </c>
      <c r="L19" s="21" t="s">
        <v>53</v>
      </c>
      <c r="M19" s="21" t="s">
        <v>54</v>
      </c>
      <c r="N19" s="21" t="s">
        <v>54</v>
      </c>
      <c r="O19" s="21" t="s">
        <v>53</v>
      </c>
      <c r="P19" s="21" t="s">
        <v>53</v>
      </c>
      <c r="Q19" s="21" t="s">
        <v>53</v>
      </c>
      <c r="R19" s="21" t="s">
        <v>53</v>
      </c>
      <c r="S19" s="21" t="s">
        <v>53</v>
      </c>
      <c r="T19" s="21" t="s">
        <v>54</v>
      </c>
      <c r="U19" s="21" t="s">
        <v>54</v>
      </c>
      <c r="V19" s="21" t="s">
        <v>53</v>
      </c>
      <c r="W19" s="21" t="s">
        <v>53</v>
      </c>
      <c r="X19" s="21" t="s">
        <v>62</v>
      </c>
      <c r="Y19" s="21" t="s">
        <v>62</v>
      </c>
      <c r="Z19" s="21" t="s">
        <v>53</v>
      </c>
      <c r="AA19" s="21" t="s">
        <v>54</v>
      </c>
      <c r="AB19" s="21" t="s">
        <v>54</v>
      </c>
      <c r="AC19" s="21" t="s">
        <v>53</v>
      </c>
      <c r="AD19" s="21" t="s">
        <v>53</v>
      </c>
      <c r="AE19" s="21" t="s">
        <v>62</v>
      </c>
      <c r="AF19" s="21" t="s">
        <v>62</v>
      </c>
      <c r="AG19" s="21">
        <f t="shared" si="12"/>
        <v>20</v>
      </c>
      <c r="AH19" s="21">
        <f t="shared" si="13"/>
        <v>0</v>
      </c>
      <c r="AI19" s="21">
        <f t="shared" si="14"/>
        <v>0</v>
      </c>
      <c r="AJ19" s="21">
        <f t="shared" si="15"/>
        <v>0</v>
      </c>
      <c r="AK19" s="21">
        <f t="shared" si="6"/>
        <v>0</v>
      </c>
      <c r="AL19" s="21">
        <f t="shared" si="7"/>
        <v>1</v>
      </c>
      <c r="AM19" s="21">
        <f t="shared" si="8"/>
        <v>1</v>
      </c>
      <c r="AN19" s="21">
        <f t="shared" si="9"/>
        <v>0</v>
      </c>
      <c r="AO19" s="21">
        <f t="shared" si="16"/>
        <v>1</v>
      </c>
      <c r="AP19" s="21">
        <f t="shared" si="11"/>
        <v>4</v>
      </c>
    </row>
    <row r="20" spans="1:42" ht="14.5" hidden="1" x14ac:dyDescent="0.35">
      <c r="A20" s="21" t="s">
        <v>70</v>
      </c>
      <c r="B20" s="21" t="s">
        <v>8</v>
      </c>
      <c r="C20" s="21" t="s">
        <v>54</v>
      </c>
      <c r="D20" s="21" t="s">
        <v>54</v>
      </c>
      <c r="E20" s="21" t="s">
        <v>54</v>
      </c>
      <c r="F20" s="21" t="s">
        <v>54</v>
      </c>
      <c r="G20" s="21" t="s">
        <v>53</v>
      </c>
      <c r="H20" s="21" t="s">
        <v>56</v>
      </c>
      <c r="I20" s="21" t="s">
        <v>53</v>
      </c>
      <c r="J20" s="21" t="s">
        <v>56</v>
      </c>
      <c r="K20" s="21" t="s">
        <v>53</v>
      </c>
      <c r="L20" s="21" t="s">
        <v>54</v>
      </c>
      <c r="M20" s="21" t="s">
        <v>54</v>
      </c>
      <c r="N20" s="21" t="s">
        <v>19</v>
      </c>
      <c r="O20" s="21" t="s">
        <v>56</v>
      </c>
      <c r="P20" s="21" t="s">
        <v>56</v>
      </c>
      <c r="Q20" s="21" t="s">
        <v>56</v>
      </c>
      <c r="R20" s="21" t="s">
        <v>53</v>
      </c>
      <c r="S20" s="21" t="s">
        <v>54</v>
      </c>
      <c r="T20" s="21" t="s">
        <v>54</v>
      </c>
      <c r="U20" s="21" t="s">
        <v>94</v>
      </c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>
        <f t="shared" si="12"/>
        <v>9</v>
      </c>
      <c r="AH20" s="21">
        <f t="shared" si="13"/>
        <v>0</v>
      </c>
      <c r="AI20" s="21">
        <f t="shared" si="14"/>
        <v>1</v>
      </c>
      <c r="AJ20" s="21">
        <f t="shared" si="15"/>
        <v>0</v>
      </c>
      <c r="AK20" s="21">
        <f t="shared" si="6"/>
        <v>0</v>
      </c>
      <c r="AL20" s="21">
        <f t="shared" si="7"/>
        <v>0</v>
      </c>
      <c r="AM20" s="21">
        <f t="shared" si="8"/>
        <v>0</v>
      </c>
      <c r="AN20" s="21">
        <f t="shared" si="9"/>
        <v>0</v>
      </c>
      <c r="AO20" s="21">
        <f t="shared" si="16"/>
        <v>5</v>
      </c>
      <c r="AP20" s="21">
        <f t="shared" si="11"/>
        <v>0</v>
      </c>
    </row>
    <row r="21" spans="1:42" ht="14.5" hidden="1" x14ac:dyDescent="0.35">
      <c r="A21" s="22" t="s">
        <v>71</v>
      </c>
      <c r="B21" s="16" t="s">
        <v>8</v>
      </c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>
        <f t="shared" si="12"/>
        <v>0</v>
      </c>
      <c r="AH21" s="21">
        <f t="shared" si="13"/>
        <v>0</v>
      </c>
      <c r="AI21" s="21">
        <f t="shared" si="14"/>
        <v>0</v>
      </c>
      <c r="AJ21" s="21">
        <f t="shared" si="15"/>
        <v>0</v>
      </c>
      <c r="AK21" s="21">
        <f t="shared" si="6"/>
        <v>0</v>
      </c>
      <c r="AL21" s="21">
        <f t="shared" si="7"/>
        <v>0</v>
      </c>
      <c r="AM21" s="21">
        <f t="shared" si="8"/>
        <v>0</v>
      </c>
      <c r="AN21" s="21">
        <f t="shared" si="9"/>
        <v>0</v>
      </c>
      <c r="AO21" s="21">
        <f t="shared" si="16"/>
        <v>0</v>
      </c>
      <c r="AP21" s="21">
        <f t="shared" si="11"/>
        <v>0</v>
      </c>
    </row>
    <row r="22" spans="1:42" ht="14.5" x14ac:dyDescent="0.35">
      <c r="A22" s="21" t="s">
        <v>72</v>
      </c>
      <c r="B22" s="21" t="s">
        <v>8</v>
      </c>
      <c r="C22" s="21" t="s">
        <v>54</v>
      </c>
      <c r="D22" s="21" t="s">
        <v>54</v>
      </c>
      <c r="E22" s="21" t="s">
        <v>53</v>
      </c>
      <c r="F22" s="21" t="s">
        <v>53</v>
      </c>
      <c r="G22" s="21" t="s">
        <v>54</v>
      </c>
      <c r="H22" s="21" t="s">
        <v>54</v>
      </c>
      <c r="I22" s="21" t="s">
        <v>53</v>
      </c>
      <c r="J22" s="21" t="s">
        <v>53</v>
      </c>
      <c r="K22" s="21" t="s">
        <v>53</v>
      </c>
      <c r="L22" s="21" t="s">
        <v>53</v>
      </c>
      <c r="M22" s="21" t="s">
        <v>56</v>
      </c>
      <c r="N22" s="23" t="s">
        <v>54</v>
      </c>
      <c r="O22" s="23" t="s">
        <v>54</v>
      </c>
      <c r="P22" s="21" t="s">
        <v>53</v>
      </c>
      <c r="Q22" s="21" t="s">
        <v>53</v>
      </c>
      <c r="R22" s="21" t="s">
        <v>53</v>
      </c>
      <c r="S22" s="21" t="s">
        <v>53</v>
      </c>
      <c r="T22" s="21" t="s">
        <v>53</v>
      </c>
      <c r="U22" s="21" t="s">
        <v>54</v>
      </c>
      <c r="V22" s="21" t="s">
        <v>54</v>
      </c>
      <c r="W22" s="21" t="s">
        <v>53</v>
      </c>
      <c r="X22" s="21" t="s">
        <v>62</v>
      </c>
      <c r="Y22" s="21" t="s">
        <v>62</v>
      </c>
      <c r="Z22" s="21" t="s">
        <v>53</v>
      </c>
      <c r="AA22" s="21" t="s">
        <v>53</v>
      </c>
      <c r="AB22" s="21" t="s">
        <v>54</v>
      </c>
      <c r="AC22" s="21" t="s">
        <v>53</v>
      </c>
      <c r="AD22" s="21" t="s">
        <v>53</v>
      </c>
      <c r="AE22" s="21" t="s">
        <v>62</v>
      </c>
      <c r="AF22" s="21" t="s">
        <v>54</v>
      </c>
      <c r="AG22" s="21">
        <f t="shared" si="12"/>
        <v>20</v>
      </c>
      <c r="AH22" s="21">
        <f t="shared" si="13"/>
        <v>0</v>
      </c>
      <c r="AI22" s="21">
        <f t="shared" si="14"/>
        <v>0</v>
      </c>
      <c r="AJ22" s="21">
        <f t="shared" si="15"/>
        <v>0</v>
      </c>
      <c r="AK22" s="21">
        <f t="shared" si="6"/>
        <v>0</v>
      </c>
      <c r="AL22" s="21">
        <f t="shared" si="7"/>
        <v>1</v>
      </c>
      <c r="AM22" s="21">
        <f t="shared" si="8"/>
        <v>1</v>
      </c>
      <c r="AN22" s="21">
        <f t="shared" si="9"/>
        <v>0</v>
      </c>
      <c r="AO22" s="21">
        <f t="shared" si="16"/>
        <v>1</v>
      </c>
      <c r="AP22" s="21">
        <f t="shared" si="11"/>
        <v>3</v>
      </c>
    </row>
    <row r="23" spans="1:42" ht="14.5" x14ac:dyDescent="0.35">
      <c r="A23" s="21" t="s">
        <v>73</v>
      </c>
      <c r="B23" s="21" t="s">
        <v>8</v>
      </c>
      <c r="C23" s="21" t="s">
        <v>54</v>
      </c>
      <c r="D23" s="21" t="s">
        <v>54</v>
      </c>
      <c r="E23" s="21" t="s">
        <v>16</v>
      </c>
      <c r="F23" s="21" t="s">
        <v>54</v>
      </c>
      <c r="G23" s="21" t="s">
        <v>54</v>
      </c>
      <c r="H23" s="21" t="s">
        <v>16</v>
      </c>
      <c r="I23" s="21" t="s">
        <v>16</v>
      </c>
      <c r="J23" s="21" t="s">
        <v>16</v>
      </c>
      <c r="K23" s="21" t="s">
        <v>16</v>
      </c>
      <c r="L23" s="21" t="s">
        <v>16</v>
      </c>
      <c r="M23" s="21" t="s">
        <v>54</v>
      </c>
      <c r="N23" s="21" t="s">
        <v>54</v>
      </c>
      <c r="O23" s="21" t="s">
        <v>53</v>
      </c>
      <c r="P23" s="21" t="s">
        <v>53</v>
      </c>
      <c r="Q23" s="21" t="s">
        <v>53</v>
      </c>
      <c r="R23" s="21" t="s">
        <v>53</v>
      </c>
      <c r="S23" s="21" t="s">
        <v>53</v>
      </c>
      <c r="T23" s="21" t="s">
        <v>54</v>
      </c>
      <c r="U23" s="21" t="s">
        <v>54</v>
      </c>
      <c r="V23" s="21" t="s">
        <v>53</v>
      </c>
      <c r="W23" s="21" t="s">
        <v>53</v>
      </c>
      <c r="X23" s="21" t="s">
        <v>62</v>
      </c>
      <c r="Y23" s="21" t="s">
        <v>62</v>
      </c>
      <c r="Z23" s="21" t="s">
        <v>53</v>
      </c>
      <c r="AA23" s="21" t="s">
        <v>54</v>
      </c>
      <c r="AB23" s="21" t="s">
        <v>54</v>
      </c>
      <c r="AC23" s="21" t="s">
        <v>53</v>
      </c>
      <c r="AD23" s="21" t="s">
        <v>53</v>
      </c>
      <c r="AE23" s="21" t="s">
        <v>62</v>
      </c>
      <c r="AF23" s="21" t="s">
        <v>62</v>
      </c>
      <c r="AG23" s="21">
        <f t="shared" si="12"/>
        <v>14</v>
      </c>
      <c r="AH23" s="21">
        <f t="shared" si="13"/>
        <v>6</v>
      </c>
      <c r="AI23" s="21">
        <f t="shared" si="14"/>
        <v>0</v>
      </c>
      <c r="AJ23" s="21">
        <f t="shared" si="15"/>
        <v>0</v>
      </c>
      <c r="AK23" s="21">
        <f t="shared" si="6"/>
        <v>0</v>
      </c>
      <c r="AL23" s="21">
        <f t="shared" si="7"/>
        <v>1</v>
      </c>
      <c r="AM23" s="21">
        <f t="shared" si="8"/>
        <v>1</v>
      </c>
      <c r="AN23" s="21">
        <f t="shared" si="9"/>
        <v>0</v>
      </c>
      <c r="AO23" s="21">
        <f t="shared" si="16"/>
        <v>0</v>
      </c>
      <c r="AP23" s="21">
        <f t="shared" si="11"/>
        <v>4</v>
      </c>
    </row>
    <row r="24" spans="1:42" ht="14.5" x14ac:dyDescent="0.35">
      <c r="A24" s="21" t="s">
        <v>74</v>
      </c>
      <c r="B24" s="21" t="s">
        <v>8</v>
      </c>
      <c r="C24" s="21" t="s">
        <v>53</v>
      </c>
      <c r="D24" s="21" t="s">
        <v>53</v>
      </c>
      <c r="E24" s="21" t="s">
        <v>53</v>
      </c>
      <c r="F24" s="21" t="s">
        <v>54</v>
      </c>
      <c r="G24" s="21" t="s">
        <v>53</v>
      </c>
      <c r="H24" s="21" t="s">
        <v>53</v>
      </c>
      <c r="I24" s="21" t="s">
        <v>53</v>
      </c>
      <c r="J24" s="21" t="s">
        <v>53</v>
      </c>
      <c r="K24" s="21" t="s">
        <v>54</v>
      </c>
      <c r="L24" s="21" t="s">
        <v>56</v>
      </c>
      <c r="M24" s="21" t="s">
        <v>53</v>
      </c>
      <c r="N24" s="21" t="s">
        <v>53</v>
      </c>
      <c r="O24" s="21" t="s">
        <v>53</v>
      </c>
      <c r="P24" s="21" t="s">
        <v>53</v>
      </c>
      <c r="Q24" s="21" t="s">
        <v>54</v>
      </c>
      <c r="R24" s="21" t="s">
        <v>54</v>
      </c>
      <c r="S24" s="21" t="s">
        <v>53</v>
      </c>
      <c r="T24" s="21" t="s">
        <v>56</v>
      </c>
      <c r="U24" s="21" t="s">
        <v>19</v>
      </c>
      <c r="V24" s="21" t="s">
        <v>56</v>
      </c>
      <c r="W24" s="21" t="s">
        <v>53</v>
      </c>
      <c r="X24" s="21" t="s">
        <v>54</v>
      </c>
      <c r="Y24" s="21" t="s">
        <v>54</v>
      </c>
      <c r="Z24" s="21" t="s">
        <v>56</v>
      </c>
      <c r="AA24" s="21" t="s">
        <v>53</v>
      </c>
      <c r="AB24" s="21" t="s">
        <v>53</v>
      </c>
      <c r="AC24" s="21" t="s">
        <v>53</v>
      </c>
      <c r="AD24" s="21" t="s">
        <v>53</v>
      </c>
      <c r="AE24" s="21" t="s">
        <v>54</v>
      </c>
      <c r="AF24" s="21" t="s">
        <v>54</v>
      </c>
      <c r="AG24" s="21">
        <f t="shared" si="12"/>
        <v>21</v>
      </c>
      <c r="AH24" s="21">
        <f t="shared" si="13"/>
        <v>0</v>
      </c>
      <c r="AI24" s="21">
        <f t="shared" si="14"/>
        <v>1</v>
      </c>
      <c r="AJ24" s="21">
        <f t="shared" si="15"/>
        <v>0</v>
      </c>
      <c r="AK24" s="21">
        <f t="shared" si="6"/>
        <v>0</v>
      </c>
      <c r="AL24" s="21">
        <f t="shared" si="7"/>
        <v>1</v>
      </c>
      <c r="AM24" s="21">
        <f t="shared" si="8"/>
        <v>1</v>
      </c>
      <c r="AN24" s="21">
        <f t="shared" si="9"/>
        <v>0</v>
      </c>
      <c r="AO24" s="21">
        <f t="shared" si="16"/>
        <v>4</v>
      </c>
      <c r="AP24" s="21">
        <f t="shared" si="11"/>
        <v>0</v>
      </c>
    </row>
    <row r="25" spans="1:42" ht="14.5" x14ac:dyDescent="0.35">
      <c r="A25" s="21" t="s">
        <v>75</v>
      </c>
      <c r="B25" s="21" t="s">
        <v>8</v>
      </c>
      <c r="C25" s="21" t="s">
        <v>62</v>
      </c>
      <c r="D25" s="21" t="s">
        <v>62</v>
      </c>
      <c r="E25" s="21" t="s">
        <v>53</v>
      </c>
      <c r="F25" s="21" t="s">
        <v>53</v>
      </c>
      <c r="G25" s="21" t="s">
        <v>53</v>
      </c>
      <c r="H25" s="21" t="s">
        <v>53</v>
      </c>
      <c r="I25" s="21" t="s">
        <v>53</v>
      </c>
      <c r="J25" s="21" t="s">
        <v>54</v>
      </c>
      <c r="K25" s="21" t="s">
        <v>54</v>
      </c>
      <c r="L25" s="21" t="s">
        <v>53</v>
      </c>
      <c r="M25" s="21" t="s">
        <v>53</v>
      </c>
      <c r="N25" s="21" t="s">
        <v>53</v>
      </c>
      <c r="O25" s="21" t="s">
        <v>53</v>
      </c>
      <c r="P25" s="21" t="s">
        <v>53</v>
      </c>
      <c r="Q25" s="21" t="s">
        <v>54</v>
      </c>
      <c r="R25" s="21" t="s">
        <v>54</v>
      </c>
      <c r="S25" s="21" t="s">
        <v>53</v>
      </c>
      <c r="T25" s="21" t="s">
        <v>53</v>
      </c>
      <c r="U25" s="21" t="s">
        <v>53</v>
      </c>
      <c r="V25" s="21" t="s">
        <v>53</v>
      </c>
      <c r="W25" s="21" t="s">
        <v>53</v>
      </c>
      <c r="X25" s="21" t="s">
        <v>54</v>
      </c>
      <c r="Y25" s="21" t="s">
        <v>54</v>
      </c>
      <c r="Z25" s="21" t="s">
        <v>53</v>
      </c>
      <c r="AA25" s="21" t="s">
        <v>53</v>
      </c>
      <c r="AB25" s="21" t="s">
        <v>53</v>
      </c>
      <c r="AC25" s="21" t="s">
        <v>4</v>
      </c>
      <c r="AD25" s="21" t="s">
        <v>16</v>
      </c>
      <c r="AE25" s="21" t="s">
        <v>54</v>
      </c>
      <c r="AF25" s="21" t="s">
        <v>54</v>
      </c>
      <c r="AG25" s="21">
        <f t="shared" si="12"/>
        <v>20</v>
      </c>
      <c r="AH25" s="21">
        <f t="shared" si="13"/>
        <v>1</v>
      </c>
      <c r="AI25" s="21">
        <f t="shared" si="14"/>
        <v>0</v>
      </c>
      <c r="AJ25" s="21">
        <f t="shared" si="15"/>
        <v>0</v>
      </c>
      <c r="AK25" s="21">
        <f t="shared" si="6"/>
        <v>0</v>
      </c>
      <c r="AL25" s="21">
        <f t="shared" si="7"/>
        <v>0</v>
      </c>
      <c r="AM25" s="21">
        <f t="shared" si="8"/>
        <v>0</v>
      </c>
      <c r="AN25" s="21">
        <f t="shared" si="9"/>
        <v>1</v>
      </c>
      <c r="AO25" s="21">
        <f t="shared" si="16"/>
        <v>0</v>
      </c>
      <c r="AP25" s="21">
        <f t="shared" si="11"/>
        <v>2</v>
      </c>
    </row>
    <row r="26" spans="1:42" ht="14.5" x14ac:dyDescent="0.35">
      <c r="A26" s="21" t="s">
        <v>76</v>
      </c>
      <c r="B26" s="21" t="s">
        <v>8</v>
      </c>
      <c r="C26" s="21" t="s">
        <v>62</v>
      </c>
      <c r="D26" s="21" t="s">
        <v>16</v>
      </c>
      <c r="E26" s="21" t="s">
        <v>54</v>
      </c>
      <c r="F26" s="21" t="s">
        <v>53</v>
      </c>
      <c r="G26" s="21" t="s">
        <v>53</v>
      </c>
      <c r="H26" s="21" t="s">
        <v>53</v>
      </c>
      <c r="I26" s="21" t="s">
        <v>53</v>
      </c>
      <c r="J26" s="21" t="s">
        <v>54</v>
      </c>
      <c r="K26" s="21" t="s">
        <v>19</v>
      </c>
      <c r="L26" s="21" t="s">
        <v>56</v>
      </c>
      <c r="M26" s="21" t="s">
        <v>53</v>
      </c>
      <c r="N26" s="21" t="s">
        <v>53</v>
      </c>
      <c r="O26" s="21" t="s">
        <v>53</v>
      </c>
      <c r="P26" s="21" t="s">
        <v>53</v>
      </c>
      <c r="Q26" s="21" t="s">
        <v>54</v>
      </c>
      <c r="R26" s="21" t="s">
        <v>54</v>
      </c>
      <c r="S26" s="21" t="s">
        <v>53</v>
      </c>
      <c r="T26" s="21" t="s">
        <v>53</v>
      </c>
      <c r="U26" s="21" t="s">
        <v>53</v>
      </c>
      <c r="V26" s="21" t="s">
        <v>53</v>
      </c>
      <c r="W26" s="21" t="s">
        <v>53</v>
      </c>
      <c r="X26" s="21" t="s">
        <v>54</v>
      </c>
      <c r="Y26" s="21" t="s">
        <v>54</v>
      </c>
      <c r="Z26" s="21" t="s">
        <v>53</v>
      </c>
      <c r="AA26" s="21" t="s">
        <v>56</v>
      </c>
      <c r="AB26" s="21" t="s">
        <v>53</v>
      </c>
      <c r="AC26" s="21" t="s">
        <v>53</v>
      </c>
      <c r="AD26" s="21" t="s">
        <v>53</v>
      </c>
      <c r="AE26" s="21" t="s">
        <v>54</v>
      </c>
      <c r="AF26" s="21" t="s">
        <v>54</v>
      </c>
      <c r="AG26" s="21">
        <f t="shared" si="12"/>
        <v>20</v>
      </c>
      <c r="AH26" s="21">
        <f t="shared" si="13"/>
        <v>1</v>
      </c>
      <c r="AI26" s="21">
        <f t="shared" si="14"/>
        <v>1</v>
      </c>
      <c r="AJ26" s="21">
        <f t="shared" si="15"/>
        <v>0</v>
      </c>
      <c r="AK26" s="21">
        <f t="shared" si="6"/>
        <v>0</v>
      </c>
      <c r="AL26" s="21">
        <f t="shared" si="7"/>
        <v>1</v>
      </c>
      <c r="AM26" s="21">
        <f t="shared" si="8"/>
        <v>1</v>
      </c>
      <c r="AN26" s="21">
        <f t="shared" si="9"/>
        <v>0</v>
      </c>
      <c r="AO26" s="21">
        <f t="shared" si="16"/>
        <v>2</v>
      </c>
      <c r="AP26" s="21">
        <f t="shared" si="11"/>
        <v>1</v>
      </c>
    </row>
    <row r="27" spans="1:42" ht="14.5" x14ac:dyDescent="0.35">
      <c r="A27" s="21" t="s">
        <v>77</v>
      </c>
      <c r="B27" s="21" t="s">
        <v>8</v>
      </c>
      <c r="C27" s="21" t="s">
        <v>54</v>
      </c>
      <c r="D27" s="21" t="s">
        <v>54</v>
      </c>
      <c r="E27" s="21" t="s">
        <v>62</v>
      </c>
      <c r="F27" s="21" t="s">
        <v>53</v>
      </c>
      <c r="G27" s="21" t="s">
        <v>53</v>
      </c>
      <c r="H27" s="21" t="s">
        <v>53</v>
      </c>
      <c r="I27" s="21" t="s">
        <v>53</v>
      </c>
      <c r="J27" s="21" t="s">
        <v>54</v>
      </c>
      <c r="K27" s="21" t="s">
        <v>54</v>
      </c>
      <c r="L27" s="21" t="s">
        <v>53</v>
      </c>
      <c r="M27" s="21" t="s">
        <v>53</v>
      </c>
      <c r="N27" s="21" t="s">
        <v>53</v>
      </c>
      <c r="O27" s="21" t="s">
        <v>53</v>
      </c>
      <c r="P27" s="21" t="s">
        <v>53</v>
      </c>
      <c r="Q27" s="21" t="s">
        <v>54</v>
      </c>
      <c r="R27" s="21" t="s">
        <v>54</v>
      </c>
      <c r="S27" s="21" t="s">
        <v>53</v>
      </c>
      <c r="T27" s="21" t="s">
        <v>53</v>
      </c>
      <c r="U27" s="21" t="s">
        <v>53</v>
      </c>
      <c r="V27" s="21" t="s">
        <v>53</v>
      </c>
      <c r="W27" s="21" t="s">
        <v>53</v>
      </c>
      <c r="X27" s="21" t="s">
        <v>54</v>
      </c>
      <c r="Y27" s="21" t="s">
        <v>54</v>
      </c>
      <c r="Z27" s="21" t="s">
        <v>53</v>
      </c>
      <c r="AA27" s="21" t="s">
        <v>53</v>
      </c>
      <c r="AB27" s="21" t="s">
        <v>53</v>
      </c>
      <c r="AC27" s="21" t="s">
        <v>4</v>
      </c>
      <c r="AD27" s="21" t="s">
        <v>16</v>
      </c>
      <c r="AE27" s="21" t="s">
        <v>54</v>
      </c>
      <c r="AF27" s="21" t="s">
        <v>54</v>
      </c>
      <c r="AG27" s="21">
        <f t="shared" si="12"/>
        <v>18</v>
      </c>
      <c r="AH27" s="21">
        <f t="shared" si="13"/>
        <v>1</v>
      </c>
      <c r="AI27" s="21">
        <f t="shared" si="14"/>
        <v>0</v>
      </c>
      <c r="AJ27" s="21">
        <f t="shared" si="15"/>
        <v>0</v>
      </c>
      <c r="AK27" s="21">
        <f t="shared" si="6"/>
        <v>0</v>
      </c>
      <c r="AL27" s="21">
        <f t="shared" si="7"/>
        <v>0</v>
      </c>
      <c r="AM27" s="21">
        <f t="shared" si="8"/>
        <v>0</v>
      </c>
      <c r="AN27" s="21">
        <f t="shared" si="9"/>
        <v>1</v>
      </c>
      <c r="AO27" s="21">
        <f t="shared" si="16"/>
        <v>0</v>
      </c>
      <c r="AP27" s="21">
        <f t="shared" si="11"/>
        <v>1</v>
      </c>
    </row>
    <row r="28" spans="1:42" ht="14.5" x14ac:dyDescent="0.35">
      <c r="A28" s="21" t="s">
        <v>78</v>
      </c>
      <c r="B28" s="21" t="s">
        <v>8</v>
      </c>
      <c r="C28" s="21" t="s">
        <v>54</v>
      </c>
      <c r="D28" s="21" t="s">
        <v>54</v>
      </c>
      <c r="E28" s="21" t="s">
        <v>53</v>
      </c>
      <c r="F28" s="21" t="s">
        <v>53</v>
      </c>
      <c r="G28" s="21" t="s">
        <v>56</v>
      </c>
      <c r="H28" s="21" t="s">
        <v>53</v>
      </c>
      <c r="I28" s="21" t="s">
        <v>53</v>
      </c>
      <c r="J28" s="21" t="s">
        <v>54</v>
      </c>
      <c r="K28" s="21" t="s">
        <v>54</v>
      </c>
      <c r="L28" s="21" t="s">
        <v>53</v>
      </c>
      <c r="M28" s="21" t="s">
        <v>53</v>
      </c>
      <c r="N28" s="21" t="s">
        <v>53</v>
      </c>
      <c r="O28" s="21" t="s">
        <v>53</v>
      </c>
      <c r="P28" s="21" t="s">
        <v>53</v>
      </c>
      <c r="Q28" s="21" t="s">
        <v>54</v>
      </c>
      <c r="R28" s="21" t="s">
        <v>54</v>
      </c>
      <c r="S28" s="21" t="s">
        <v>16</v>
      </c>
      <c r="T28" s="21" t="s">
        <v>16</v>
      </c>
      <c r="U28" s="21" t="s">
        <v>16</v>
      </c>
      <c r="V28" s="21" t="s">
        <v>16</v>
      </c>
      <c r="W28" s="21" t="s">
        <v>16</v>
      </c>
      <c r="X28" s="21" t="s">
        <v>54</v>
      </c>
      <c r="Y28" s="21" t="s">
        <v>54</v>
      </c>
      <c r="Z28" s="21" t="s">
        <v>16</v>
      </c>
      <c r="AA28" s="21" t="s">
        <v>16</v>
      </c>
      <c r="AB28" s="21" t="s">
        <v>16</v>
      </c>
      <c r="AC28" s="21" t="s">
        <v>4</v>
      </c>
      <c r="AD28" s="21" t="s">
        <v>53</v>
      </c>
      <c r="AE28" s="21" t="s">
        <v>54</v>
      </c>
      <c r="AF28" s="21" t="s">
        <v>54</v>
      </c>
      <c r="AG28" s="21">
        <f t="shared" si="12"/>
        <v>11</v>
      </c>
      <c r="AH28" s="21">
        <f t="shared" si="13"/>
        <v>8</v>
      </c>
      <c r="AI28" s="21">
        <f t="shared" si="14"/>
        <v>0</v>
      </c>
      <c r="AJ28" s="21">
        <f t="shared" si="15"/>
        <v>0</v>
      </c>
      <c r="AK28" s="21">
        <f t="shared" si="6"/>
        <v>0</v>
      </c>
      <c r="AL28" s="21">
        <f t="shared" si="7"/>
        <v>0</v>
      </c>
      <c r="AM28" s="21">
        <f t="shared" si="8"/>
        <v>0</v>
      </c>
      <c r="AN28" s="21">
        <f t="shared" si="9"/>
        <v>1</v>
      </c>
      <c r="AO28" s="21">
        <f t="shared" si="16"/>
        <v>1</v>
      </c>
      <c r="AP28" s="21">
        <f t="shared" si="11"/>
        <v>0</v>
      </c>
    </row>
    <row r="29" spans="1:42" ht="14.5" x14ac:dyDescent="0.35">
      <c r="A29" s="21" t="s">
        <v>80</v>
      </c>
      <c r="B29" s="21" t="s">
        <v>8</v>
      </c>
      <c r="C29" s="21" t="s">
        <v>54</v>
      </c>
      <c r="D29" s="21" t="s">
        <v>54</v>
      </c>
      <c r="E29" s="21" t="s">
        <v>16</v>
      </c>
      <c r="F29" s="21" t="s">
        <v>56</v>
      </c>
      <c r="G29" s="21" t="s">
        <v>56</v>
      </c>
      <c r="H29" s="21" t="s">
        <v>53</v>
      </c>
      <c r="I29" s="21" t="s">
        <v>56</v>
      </c>
      <c r="J29" s="21" t="s">
        <v>54</v>
      </c>
      <c r="K29" s="21" t="s">
        <v>54</v>
      </c>
      <c r="L29" s="21" t="s">
        <v>56</v>
      </c>
      <c r="M29" s="21" t="s">
        <v>56</v>
      </c>
      <c r="N29" s="21" t="s">
        <v>56</v>
      </c>
      <c r="O29" s="21" t="s">
        <v>56</v>
      </c>
      <c r="P29" s="21" t="s">
        <v>53</v>
      </c>
      <c r="Q29" s="21" t="s">
        <v>54</v>
      </c>
      <c r="R29" s="21" t="s">
        <v>54</v>
      </c>
      <c r="S29" s="21" t="s">
        <v>56</v>
      </c>
      <c r="T29" s="21" t="s">
        <v>53</v>
      </c>
      <c r="U29" s="21" t="s">
        <v>53</v>
      </c>
      <c r="V29" s="21" t="s">
        <v>19</v>
      </c>
      <c r="W29" s="21" t="s">
        <v>56</v>
      </c>
      <c r="X29" s="21" t="s">
        <v>54</v>
      </c>
      <c r="Y29" s="21" t="s">
        <v>54</v>
      </c>
      <c r="Z29" s="21" t="s">
        <v>53</v>
      </c>
      <c r="AA29" s="21" t="s">
        <v>56</v>
      </c>
      <c r="AB29" s="21" t="s">
        <v>16</v>
      </c>
      <c r="AC29" s="21" t="s">
        <v>4</v>
      </c>
      <c r="AD29" s="21" t="s">
        <v>16</v>
      </c>
      <c r="AE29" s="21" t="s">
        <v>54</v>
      </c>
      <c r="AF29" s="21" t="s">
        <v>54</v>
      </c>
      <c r="AG29" s="21">
        <f t="shared" si="12"/>
        <v>15</v>
      </c>
      <c r="AH29" s="21">
        <f t="shared" si="13"/>
        <v>3</v>
      </c>
      <c r="AI29" s="21">
        <f t="shared" si="14"/>
        <v>1</v>
      </c>
      <c r="AJ29" s="21">
        <f t="shared" si="15"/>
        <v>0</v>
      </c>
      <c r="AK29" s="21">
        <f t="shared" si="6"/>
        <v>0</v>
      </c>
      <c r="AL29" s="21">
        <f t="shared" si="7"/>
        <v>0</v>
      </c>
      <c r="AM29" s="21">
        <f t="shared" si="8"/>
        <v>0</v>
      </c>
      <c r="AN29" s="21">
        <f t="shared" si="9"/>
        <v>1</v>
      </c>
      <c r="AO29" s="21">
        <f t="shared" si="16"/>
        <v>10</v>
      </c>
      <c r="AP29" s="21">
        <f t="shared" si="11"/>
        <v>0</v>
      </c>
    </row>
    <row r="30" spans="1:42" ht="14.5" hidden="1" x14ac:dyDescent="0.35">
      <c r="A30" s="22" t="s">
        <v>81</v>
      </c>
      <c r="B30" s="16" t="s">
        <v>8</v>
      </c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>
        <f t="shared" si="12"/>
        <v>0</v>
      </c>
      <c r="AH30" s="21">
        <f t="shared" si="13"/>
        <v>0</v>
      </c>
      <c r="AI30" s="21">
        <f t="shared" si="14"/>
        <v>0</v>
      </c>
      <c r="AJ30" s="21">
        <f t="shared" si="15"/>
        <v>0</v>
      </c>
      <c r="AK30" s="21">
        <f t="shared" si="6"/>
        <v>0</v>
      </c>
      <c r="AL30" s="21">
        <f t="shared" si="7"/>
        <v>0</v>
      </c>
      <c r="AM30" s="21">
        <f t="shared" si="8"/>
        <v>0</v>
      </c>
      <c r="AN30" s="21">
        <f t="shared" si="9"/>
        <v>0</v>
      </c>
      <c r="AO30" s="21">
        <f t="shared" si="16"/>
        <v>0</v>
      </c>
      <c r="AP30" s="21">
        <f t="shared" si="11"/>
        <v>0</v>
      </c>
    </row>
    <row r="31" spans="1:42" ht="14.5" x14ac:dyDescent="0.35">
      <c r="A31" s="21" t="s">
        <v>82</v>
      </c>
      <c r="B31" s="21" t="s">
        <v>8</v>
      </c>
      <c r="C31" s="21" t="s">
        <v>54</v>
      </c>
      <c r="D31" s="21" t="s">
        <v>54</v>
      </c>
      <c r="E31" s="21" t="s">
        <v>56</v>
      </c>
      <c r="F31" s="21" t="s">
        <v>53</v>
      </c>
      <c r="G31" s="21" t="s">
        <v>53</v>
      </c>
      <c r="H31" s="21" t="s">
        <v>53</v>
      </c>
      <c r="I31" s="21" t="s">
        <v>53</v>
      </c>
      <c r="J31" s="21" t="s">
        <v>54</v>
      </c>
      <c r="K31" s="21" t="s">
        <v>54</v>
      </c>
      <c r="L31" s="21" t="s">
        <v>56</v>
      </c>
      <c r="M31" s="21" t="s">
        <v>53</v>
      </c>
      <c r="N31" s="21" t="s">
        <v>56</v>
      </c>
      <c r="O31" s="21" t="s">
        <v>56</v>
      </c>
      <c r="P31" s="21" t="s">
        <v>53</v>
      </c>
      <c r="Q31" s="21" t="s">
        <v>54</v>
      </c>
      <c r="R31" s="21" t="s">
        <v>54</v>
      </c>
      <c r="S31" s="21" t="s">
        <v>56</v>
      </c>
      <c r="T31" s="21" t="s">
        <v>53</v>
      </c>
      <c r="U31" s="21" t="s">
        <v>53</v>
      </c>
      <c r="V31" s="21" t="s">
        <v>19</v>
      </c>
      <c r="W31" s="21" t="s">
        <v>19</v>
      </c>
      <c r="X31" s="21" t="s">
        <v>54</v>
      </c>
      <c r="Y31" s="21" t="s">
        <v>54</v>
      </c>
      <c r="Z31" s="21" t="s">
        <v>53</v>
      </c>
      <c r="AA31" s="21" t="s">
        <v>53</v>
      </c>
      <c r="AB31" s="21" t="s">
        <v>53</v>
      </c>
      <c r="AC31" s="21" t="s">
        <v>62</v>
      </c>
      <c r="AD31" s="21" t="s">
        <v>53</v>
      </c>
      <c r="AE31" s="21" t="s">
        <v>54</v>
      </c>
      <c r="AF31" s="21" t="s">
        <v>54</v>
      </c>
      <c r="AG31" s="21">
        <f t="shared" si="12"/>
        <v>18</v>
      </c>
      <c r="AH31" s="21">
        <f t="shared" si="13"/>
        <v>0</v>
      </c>
      <c r="AI31" s="21">
        <f t="shared" si="14"/>
        <v>2</v>
      </c>
      <c r="AJ31" s="21">
        <f t="shared" si="15"/>
        <v>0</v>
      </c>
      <c r="AK31" s="21">
        <f t="shared" si="6"/>
        <v>0</v>
      </c>
      <c r="AL31" s="21">
        <f t="shared" si="7"/>
        <v>1</v>
      </c>
      <c r="AM31" s="21">
        <f t="shared" si="8"/>
        <v>1</v>
      </c>
      <c r="AN31" s="21">
        <f t="shared" si="9"/>
        <v>0</v>
      </c>
      <c r="AO31" s="21">
        <f t="shared" si="16"/>
        <v>5</v>
      </c>
      <c r="AP31" s="21">
        <f t="shared" si="11"/>
        <v>1</v>
      </c>
    </row>
    <row r="32" spans="1:42" ht="14.5" x14ac:dyDescent="0.35">
      <c r="A32" s="21" t="s">
        <v>83</v>
      </c>
      <c r="B32" s="21" t="s">
        <v>8</v>
      </c>
      <c r="C32" s="21" t="s">
        <v>54</v>
      </c>
      <c r="D32" s="21" t="s">
        <v>54</v>
      </c>
      <c r="E32" s="21" t="s">
        <v>53</v>
      </c>
      <c r="F32" s="21" t="s">
        <v>53</v>
      </c>
      <c r="G32" s="21" t="s">
        <v>56</v>
      </c>
      <c r="H32" s="21" t="s">
        <v>54</v>
      </c>
      <c r="I32" s="21" t="s">
        <v>54</v>
      </c>
      <c r="J32" s="21" t="s">
        <v>53</v>
      </c>
      <c r="K32" s="21" t="s">
        <v>53</v>
      </c>
      <c r="L32" s="21" t="s">
        <v>56</v>
      </c>
      <c r="M32" s="21" t="s">
        <v>56</v>
      </c>
      <c r="N32" s="21" t="s">
        <v>53</v>
      </c>
      <c r="O32" s="21" t="s">
        <v>54</v>
      </c>
      <c r="P32" s="21" t="s">
        <v>54</v>
      </c>
      <c r="Q32" s="21" t="s">
        <v>53</v>
      </c>
      <c r="R32" s="21" t="s">
        <v>53</v>
      </c>
      <c r="S32" s="21" t="s">
        <v>62</v>
      </c>
      <c r="T32" s="21" t="s">
        <v>53</v>
      </c>
      <c r="U32" s="21" t="s">
        <v>56</v>
      </c>
      <c r="V32" s="21" t="s">
        <v>54</v>
      </c>
      <c r="W32" s="21" t="s">
        <v>54</v>
      </c>
      <c r="X32" s="21" t="s">
        <v>62</v>
      </c>
      <c r="Y32" s="21" t="s">
        <v>62</v>
      </c>
      <c r="Z32" s="21" t="s">
        <v>56</v>
      </c>
      <c r="AA32" s="21" t="s">
        <v>56</v>
      </c>
      <c r="AB32" s="21" t="s">
        <v>16</v>
      </c>
      <c r="AC32" s="21" t="s">
        <v>54</v>
      </c>
      <c r="AD32" s="21" t="s">
        <v>54</v>
      </c>
      <c r="AE32" s="21" t="s">
        <v>16</v>
      </c>
      <c r="AF32" s="21" t="s">
        <v>16</v>
      </c>
      <c r="AG32" s="21">
        <f t="shared" si="12"/>
        <v>17</v>
      </c>
      <c r="AH32" s="21">
        <f t="shared" si="13"/>
        <v>3</v>
      </c>
      <c r="AI32" s="21">
        <f t="shared" si="14"/>
        <v>0</v>
      </c>
      <c r="AJ32" s="21">
        <f t="shared" si="15"/>
        <v>0</v>
      </c>
      <c r="AK32" s="21">
        <f t="shared" si="6"/>
        <v>0</v>
      </c>
      <c r="AL32" s="21">
        <f t="shared" si="7"/>
        <v>0</v>
      </c>
      <c r="AM32" s="21">
        <f t="shared" si="8"/>
        <v>0</v>
      </c>
      <c r="AN32" s="21">
        <f t="shared" si="9"/>
        <v>0</v>
      </c>
      <c r="AO32" s="21">
        <f t="shared" si="16"/>
        <v>6</v>
      </c>
      <c r="AP32" s="21">
        <f t="shared" si="11"/>
        <v>3</v>
      </c>
    </row>
    <row r="33" spans="1:42" ht="14.5" x14ac:dyDescent="0.35">
      <c r="A33" s="21" t="s">
        <v>84</v>
      </c>
      <c r="B33" s="21" t="s">
        <v>8</v>
      </c>
      <c r="C33" s="21" t="s">
        <v>53</v>
      </c>
      <c r="D33" s="21" t="s">
        <v>53</v>
      </c>
      <c r="E33" s="21" t="s">
        <v>53</v>
      </c>
      <c r="F33" s="21" t="s">
        <v>53</v>
      </c>
      <c r="G33" s="21" t="s">
        <v>53</v>
      </c>
      <c r="H33" s="21" t="s">
        <v>53</v>
      </c>
      <c r="I33" s="21" t="s">
        <v>54</v>
      </c>
      <c r="J33" s="21" t="s">
        <v>54</v>
      </c>
      <c r="K33" s="21" t="s">
        <v>53</v>
      </c>
      <c r="L33" s="21" t="s">
        <v>53</v>
      </c>
      <c r="M33" s="21" t="s">
        <v>53</v>
      </c>
      <c r="N33" s="21" t="s">
        <v>53</v>
      </c>
      <c r="O33" s="21" t="s">
        <v>56</v>
      </c>
      <c r="P33" s="21" t="s">
        <v>53</v>
      </c>
      <c r="Q33" s="21" t="s">
        <v>54</v>
      </c>
      <c r="R33" s="21" t="s">
        <v>54</v>
      </c>
      <c r="S33" s="21" t="s">
        <v>53</v>
      </c>
      <c r="T33" s="21" t="s">
        <v>53</v>
      </c>
      <c r="U33" s="21" t="s">
        <v>53</v>
      </c>
      <c r="V33" s="21" t="s">
        <v>53</v>
      </c>
      <c r="W33" s="21" t="s">
        <v>53</v>
      </c>
      <c r="X33" s="21" t="s">
        <v>54</v>
      </c>
      <c r="Y33" s="21" t="s">
        <v>54</v>
      </c>
      <c r="Z33" s="21" t="s">
        <v>53</v>
      </c>
      <c r="AA33" s="21" t="s">
        <v>53</v>
      </c>
      <c r="AB33" s="21" t="s">
        <v>53</v>
      </c>
      <c r="AC33" s="21" t="s">
        <v>53</v>
      </c>
      <c r="AD33" s="21" t="s">
        <v>53</v>
      </c>
      <c r="AE33" s="21" t="s">
        <v>54</v>
      </c>
      <c r="AF33" s="21" t="s">
        <v>54</v>
      </c>
      <c r="AG33" s="21">
        <f t="shared" si="12"/>
        <v>22</v>
      </c>
      <c r="AH33" s="21">
        <f t="shared" si="13"/>
        <v>0</v>
      </c>
      <c r="AI33" s="21">
        <f t="shared" si="14"/>
        <v>0</v>
      </c>
      <c r="AJ33" s="21">
        <f t="shared" si="15"/>
        <v>0</v>
      </c>
      <c r="AK33" s="21">
        <f t="shared" si="6"/>
        <v>0</v>
      </c>
      <c r="AL33" s="21">
        <f t="shared" si="7"/>
        <v>1</v>
      </c>
      <c r="AM33" s="21">
        <f t="shared" si="8"/>
        <v>1</v>
      </c>
      <c r="AN33" s="21">
        <f t="shared" si="9"/>
        <v>0</v>
      </c>
      <c r="AO33" s="21">
        <f t="shared" si="16"/>
        <v>1</v>
      </c>
      <c r="AP33" s="21">
        <f t="shared" si="11"/>
        <v>0</v>
      </c>
    </row>
    <row r="34" spans="1:42" ht="14.5" hidden="1" x14ac:dyDescent="0.35">
      <c r="A34" s="22" t="s">
        <v>85</v>
      </c>
      <c r="B34" s="16" t="s">
        <v>8</v>
      </c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>
        <f t="shared" si="12"/>
        <v>0</v>
      </c>
      <c r="AH34" s="21">
        <f t="shared" si="13"/>
        <v>0</v>
      </c>
      <c r="AI34" s="21">
        <f t="shared" si="14"/>
        <v>0</v>
      </c>
      <c r="AJ34" s="21">
        <f t="shared" si="15"/>
        <v>0</v>
      </c>
      <c r="AK34" s="21">
        <f t="shared" si="6"/>
        <v>0</v>
      </c>
      <c r="AL34" s="21">
        <f t="shared" si="7"/>
        <v>0</v>
      </c>
      <c r="AM34" s="21">
        <f t="shared" si="8"/>
        <v>0</v>
      </c>
      <c r="AN34" s="21">
        <f t="shared" si="9"/>
        <v>0</v>
      </c>
      <c r="AO34" s="21">
        <f t="shared" si="16"/>
        <v>0</v>
      </c>
      <c r="AP34" s="21">
        <f t="shared" si="11"/>
        <v>0</v>
      </c>
    </row>
    <row r="35" spans="1:42" ht="14.5" hidden="1" x14ac:dyDescent="0.35">
      <c r="A35" s="22" t="s">
        <v>86</v>
      </c>
      <c r="B35" s="16" t="s">
        <v>8</v>
      </c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>
        <f t="shared" si="12"/>
        <v>0</v>
      </c>
      <c r="AH35" s="21">
        <f t="shared" si="13"/>
        <v>0</v>
      </c>
      <c r="AI35" s="21">
        <f t="shared" si="14"/>
        <v>0</v>
      </c>
      <c r="AJ35" s="21">
        <f t="shared" si="15"/>
        <v>0</v>
      </c>
      <c r="AK35" s="21">
        <f t="shared" si="6"/>
        <v>0</v>
      </c>
      <c r="AL35" s="21">
        <f t="shared" si="7"/>
        <v>0</v>
      </c>
      <c r="AM35" s="21">
        <f t="shared" si="8"/>
        <v>0</v>
      </c>
      <c r="AN35" s="21">
        <f t="shared" si="9"/>
        <v>0</v>
      </c>
      <c r="AO35" s="21">
        <f t="shared" si="16"/>
        <v>0</v>
      </c>
      <c r="AP35" s="21">
        <f t="shared" si="11"/>
        <v>0</v>
      </c>
    </row>
    <row r="36" spans="1:42" ht="14.5" x14ac:dyDescent="0.35">
      <c r="A36" s="21" t="s">
        <v>87</v>
      </c>
      <c r="B36" s="21" t="s">
        <v>8</v>
      </c>
      <c r="C36" s="21" t="s">
        <v>54</v>
      </c>
      <c r="D36" s="21" t="s">
        <v>54</v>
      </c>
      <c r="E36" s="21" t="s">
        <v>53</v>
      </c>
      <c r="F36" s="21" t="s">
        <v>56</v>
      </c>
      <c r="G36" s="21" t="s">
        <v>53</v>
      </c>
      <c r="H36" s="21" t="s">
        <v>19</v>
      </c>
      <c r="I36" s="21" t="s">
        <v>53</v>
      </c>
      <c r="J36" s="21" t="s">
        <v>54</v>
      </c>
      <c r="K36" s="21" t="s">
        <v>54</v>
      </c>
      <c r="L36" s="21" t="s">
        <v>56</v>
      </c>
      <c r="M36" s="21" t="s">
        <v>56</v>
      </c>
      <c r="N36" s="21" t="s">
        <v>56</v>
      </c>
      <c r="O36" s="21" t="s">
        <v>56</v>
      </c>
      <c r="P36" s="21" t="s">
        <v>56</v>
      </c>
      <c r="Q36" s="21" t="s">
        <v>54</v>
      </c>
      <c r="R36" s="21" t="s">
        <v>54</v>
      </c>
      <c r="S36" s="21" t="s">
        <v>53</v>
      </c>
      <c r="T36" s="21" t="s">
        <v>56</v>
      </c>
      <c r="U36" s="21" t="s">
        <v>56</v>
      </c>
      <c r="V36" s="21" t="s">
        <v>53</v>
      </c>
      <c r="W36" s="21" t="s">
        <v>53</v>
      </c>
      <c r="X36" s="21" t="s">
        <v>54</v>
      </c>
      <c r="Y36" s="21" t="s">
        <v>54</v>
      </c>
      <c r="Z36" s="21" t="s">
        <v>56</v>
      </c>
      <c r="AA36" s="21" t="s">
        <v>53</v>
      </c>
      <c r="AB36" s="21" t="s">
        <v>56</v>
      </c>
      <c r="AC36" s="21" t="s">
        <v>4</v>
      </c>
      <c r="AD36" s="21" t="s">
        <v>53</v>
      </c>
      <c r="AE36" s="21" t="s">
        <v>54</v>
      </c>
      <c r="AF36" s="21" t="s">
        <v>54</v>
      </c>
      <c r="AG36" s="21">
        <f t="shared" si="12"/>
        <v>18</v>
      </c>
      <c r="AH36" s="21">
        <f t="shared" si="13"/>
        <v>0</v>
      </c>
      <c r="AI36" s="21">
        <f t="shared" si="14"/>
        <v>1</v>
      </c>
      <c r="AJ36" s="21">
        <f t="shared" si="15"/>
        <v>0</v>
      </c>
      <c r="AK36" s="21">
        <f t="shared" si="6"/>
        <v>0</v>
      </c>
      <c r="AL36" s="21">
        <f t="shared" si="7"/>
        <v>0</v>
      </c>
      <c r="AM36" s="21">
        <f t="shared" si="8"/>
        <v>0</v>
      </c>
      <c r="AN36" s="21">
        <f t="shared" si="9"/>
        <v>1</v>
      </c>
      <c r="AO36" s="21">
        <f t="shared" si="16"/>
        <v>10</v>
      </c>
      <c r="AP36" s="21">
        <f t="shared" si="11"/>
        <v>0</v>
      </c>
    </row>
    <row r="37" spans="1:42" ht="14.5" x14ac:dyDescent="0.35">
      <c r="A37" s="21" t="s">
        <v>88</v>
      </c>
      <c r="B37" s="21" t="s">
        <v>8</v>
      </c>
      <c r="C37" s="21" t="s">
        <v>54</v>
      </c>
      <c r="D37" s="21" t="s">
        <v>54</v>
      </c>
      <c r="E37" s="21" t="s">
        <v>56</v>
      </c>
      <c r="F37" s="21" t="s">
        <v>56</v>
      </c>
      <c r="G37" s="21" t="s">
        <v>56</v>
      </c>
      <c r="H37" s="21" t="s">
        <v>56</v>
      </c>
      <c r="I37" s="21" t="s">
        <v>56</v>
      </c>
      <c r="J37" s="21" t="s">
        <v>54</v>
      </c>
      <c r="K37" s="21" t="s">
        <v>54</v>
      </c>
      <c r="L37" s="21" t="s">
        <v>56</v>
      </c>
      <c r="M37" s="21" t="s">
        <v>56</v>
      </c>
      <c r="N37" s="21" t="s">
        <v>56</v>
      </c>
      <c r="O37" s="21" t="s">
        <v>56</v>
      </c>
      <c r="P37" s="21" t="s">
        <v>56</v>
      </c>
      <c r="Q37" s="21" t="s">
        <v>54</v>
      </c>
      <c r="R37" s="21" t="s">
        <v>54</v>
      </c>
      <c r="S37" s="21" t="s">
        <v>56</v>
      </c>
      <c r="T37" s="21" t="s">
        <v>53</v>
      </c>
      <c r="U37" s="21" t="s">
        <v>56</v>
      </c>
      <c r="V37" s="21" t="s">
        <v>56</v>
      </c>
      <c r="W37" s="21" t="s">
        <v>56</v>
      </c>
      <c r="X37" s="21" t="s">
        <v>54</v>
      </c>
      <c r="Y37" s="21" t="s">
        <v>54</v>
      </c>
      <c r="Z37" s="21" t="s">
        <v>56</v>
      </c>
      <c r="AA37" s="21" t="s">
        <v>56</v>
      </c>
      <c r="AB37" s="21" t="s">
        <v>56</v>
      </c>
      <c r="AC37" s="21" t="s">
        <v>4</v>
      </c>
      <c r="AD37" s="21" t="s">
        <v>54</v>
      </c>
      <c r="AE37" s="21" t="s">
        <v>54</v>
      </c>
      <c r="AF37" s="21" t="s">
        <v>62</v>
      </c>
      <c r="AG37" s="21">
        <f t="shared" si="12"/>
        <v>19</v>
      </c>
      <c r="AH37" s="21">
        <f t="shared" si="13"/>
        <v>0</v>
      </c>
      <c r="AI37" s="21">
        <f t="shared" si="14"/>
        <v>0</v>
      </c>
      <c r="AJ37" s="21">
        <f t="shared" si="15"/>
        <v>0</v>
      </c>
      <c r="AK37" s="21">
        <f t="shared" si="6"/>
        <v>0</v>
      </c>
      <c r="AL37" s="21">
        <f t="shared" si="7"/>
        <v>0</v>
      </c>
      <c r="AM37" s="21">
        <f t="shared" si="8"/>
        <v>0</v>
      </c>
      <c r="AN37" s="21">
        <f t="shared" si="9"/>
        <v>1</v>
      </c>
      <c r="AO37" s="21">
        <f t="shared" si="16"/>
        <v>17</v>
      </c>
      <c r="AP37" s="21">
        <f t="shared" si="11"/>
        <v>1</v>
      </c>
    </row>
    <row r="38" spans="1:42" ht="14.5" x14ac:dyDescent="0.35">
      <c r="A38" s="21" t="s">
        <v>89</v>
      </c>
      <c r="B38" s="21" t="s">
        <v>8</v>
      </c>
      <c r="C38" s="21" t="s">
        <v>54</v>
      </c>
      <c r="D38" s="21" t="s">
        <v>54</v>
      </c>
      <c r="E38" s="21" t="s">
        <v>53</v>
      </c>
      <c r="F38" s="21" t="s">
        <v>53</v>
      </c>
      <c r="G38" s="21" t="s">
        <v>53</v>
      </c>
      <c r="H38" s="21" t="s">
        <v>53</v>
      </c>
      <c r="I38" s="21" t="s">
        <v>53</v>
      </c>
      <c r="J38" s="21" t="s">
        <v>54</v>
      </c>
      <c r="K38" s="21" t="s">
        <v>54</v>
      </c>
      <c r="L38" s="21" t="s">
        <v>53</v>
      </c>
      <c r="M38" s="21" t="s">
        <v>53</v>
      </c>
      <c r="N38" s="21" t="s">
        <v>53</v>
      </c>
      <c r="O38" s="21" t="s">
        <v>53</v>
      </c>
      <c r="P38" s="21" t="s">
        <v>53</v>
      </c>
      <c r="Q38" s="21" t="s">
        <v>54</v>
      </c>
      <c r="R38" s="21" t="s">
        <v>54</v>
      </c>
      <c r="S38" s="21" t="s">
        <v>53</v>
      </c>
      <c r="T38" s="21" t="s">
        <v>56</v>
      </c>
      <c r="U38" s="21" t="s">
        <v>53</v>
      </c>
      <c r="V38" s="21" t="s">
        <v>53</v>
      </c>
      <c r="W38" s="21" t="s">
        <v>56</v>
      </c>
      <c r="X38" s="21" t="s">
        <v>54</v>
      </c>
      <c r="Y38" s="21" t="s">
        <v>54</v>
      </c>
      <c r="Z38" s="21" t="s">
        <v>16</v>
      </c>
      <c r="AA38" s="21" t="s">
        <v>53</v>
      </c>
      <c r="AB38" s="21" t="s">
        <v>53</v>
      </c>
      <c r="AC38" s="21" t="s">
        <v>53</v>
      </c>
      <c r="AD38" s="21" t="s">
        <v>53</v>
      </c>
      <c r="AE38" s="21" t="s">
        <v>54</v>
      </c>
      <c r="AF38" s="21" t="s">
        <v>54</v>
      </c>
      <c r="AG38" s="21">
        <f t="shared" si="12"/>
        <v>19</v>
      </c>
      <c r="AH38" s="21">
        <f t="shared" si="13"/>
        <v>1</v>
      </c>
      <c r="AI38" s="21">
        <f t="shared" si="14"/>
        <v>0</v>
      </c>
      <c r="AJ38" s="21">
        <f t="shared" si="15"/>
        <v>0</v>
      </c>
      <c r="AK38" s="21">
        <f t="shared" si="6"/>
        <v>0</v>
      </c>
      <c r="AL38" s="21">
        <f t="shared" si="7"/>
        <v>1</v>
      </c>
      <c r="AM38" s="21">
        <f t="shared" si="8"/>
        <v>1</v>
      </c>
      <c r="AN38" s="21">
        <f t="shared" si="9"/>
        <v>0</v>
      </c>
      <c r="AO38" s="21">
        <f t="shared" si="16"/>
        <v>2</v>
      </c>
      <c r="AP38" s="21">
        <f t="shared" si="11"/>
        <v>0</v>
      </c>
    </row>
    <row r="39" spans="1:42" ht="14.5" x14ac:dyDescent="0.35">
      <c r="A39" s="21" t="s">
        <v>90</v>
      </c>
      <c r="B39" s="21" t="s">
        <v>8</v>
      </c>
      <c r="C39" s="21" t="s">
        <v>54</v>
      </c>
      <c r="D39" s="21" t="s">
        <v>54</v>
      </c>
      <c r="E39" s="21" t="s">
        <v>53</v>
      </c>
      <c r="F39" s="21" t="s">
        <v>53</v>
      </c>
      <c r="G39" s="21" t="s">
        <v>53</v>
      </c>
      <c r="H39" s="21" t="s">
        <v>53</v>
      </c>
      <c r="I39" s="21" t="s">
        <v>53</v>
      </c>
      <c r="J39" s="21" t="s">
        <v>54</v>
      </c>
      <c r="K39" s="21" t="s">
        <v>54</v>
      </c>
      <c r="L39" s="21" t="s">
        <v>53</v>
      </c>
      <c r="M39" s="21" t="s">
        <v>56</v>
      </c>
      <c r="N39" s="21" t="s">
        <v>53</v>
      </c>
      <c r="O39" s="21" t="s">
        <v>56</v>
      </c>
      <c r="P39" s="21" t="s">
        <v>53</v>
      </c>
      <c r="Q39" s="21" t="s">
        <v>54</v>
      </c>
      <c r="R39" s="21" t="s">
        <v>54</v>
      </c>
      <c r="S39" s="21" t="s">
        <v>53</v>
      </c>
      <c r="T39" s="21" t="s">
        <v>53</v>
      </c>
      <c r="U39" s="21" t="s">
        <v>53</v>
      </c>
      <c r="V39" s="21" t="s">
        <v>53</v>
      </c>
      <c r="W39" s="21" t="s">
        <v>53</v>
      </c>
      <c r="X39" s="21" t="s">
        <v>54</v>
      </c>
      <c r="Y39" s="21" t="s">
        <v>54</v>
      </c>
      <c r="Z39" s="21" t="s">
        <v>53</v>
      </c>
      <c r="AA39" s="21" t="s">
        <v>53</v>
      </c>
      <c r="AB39" s="21" t="s">
        <v>53</v>
      </c>
      <c r="AC39" s="21" t="s">
        <v>56</v>
      </c>
      <c r="AD39" s="21" t="s">
        <v>53</v>
      </c>
      <c r="AE39" s="21" t="s">
        <v>54</v>
      </c>
      <c r="AF39" s="21" t="s">
        <v>54</v>
      </c>
      <c r="AG39" s="21">
        <f t="shared" si="12"/>
        <v>20</v>
      </c>
      <c r="AH39" s="21">
        <f t="shared" si="13"/>
        <v>0</v>
      </c>
      <c r="AI39" s="21">
        <f t="shared" si="14"/>
        <v>0</v>
      </c>
      <c r="AJ39" s="21">
        <f t="shared" si="15"/>
        <v>0</v>
      </c>
      <c r="AK39" s="21">
        <f t="shared" si="6"/>
        <v>0</v>
      </c>
      <c r="AL39" s="21">
        <f t="shared" si="7"/>
        <v>1</v>
      </c>
      <c r="AM39" s="21">
        <f t="shared" si="8"/>
        <v>1</v>
      </c>
      <c r="AN39" s="21">
        <f t="shared" si="9"/>
        <v>0</v>
      </c>
      <c r="AO39" s="21">
        <f t="shared" si="16"/>
        <v>3</v>
      </c>
      <c r="AP39" s="21">
        <f t="shared" si="11"/>
        <v>0</v>
      </c>
    </row>
    <row r="40" spans="1:42" ht="14.5" x14ac:dyDescent="0.35">
      <c r="A40" s="21" t="s">
        <v>91</v>
      </c>
      <c r="B40" s="21" t="s">
        <v>8</v>
      </c>
      <c r="C40" s="21" t="s">
        <v>54</v>
      </c>
      <c r="D40" s="21" t="s">
        <v>54</v>
      </c>
      <c r="E40" s="21" t="s">
        <v>53</v>
      </c>
      <c r="F40" s="21" t="s">
        <v>53</v>
      </c>
      <c r="G40" s="21" t="s">
        <v>53</v>
      </c>
      <c r="H40" s="21" t="s">
        <v>53</v>
      </c>
      <c r="I40" s="21" t="s">
        <v>53</v>
      </c>
      <c r="J40" s="21" t="s">
        <v>54</v>
      </c>
      <c r="K40" s="21" t="s">
        <v>54</v>
      </c>
      <c r="L40" s="21" t="s">
        <v>16</v>
      </c>
      <c r="M40" s="21" t="s">
        <v>16</v>
      </c>
      <c r="N40" s="21" t="s">
        <v>16</v>
      </c>
      <c r="O40" s="21" t="s">
        <v>53</v>
      </c>
      <c r="P40" s="21" t="s">
        <v>53</v>
      </c>
      <c r="Q40" s="21" t="s">
        <v>54</v>
      </c>
      <c r="R40" s="21" t="s">
        <v>54</v>
      </c>
      <c r="S40" s="21" t="s">
        <v>53</v>
      </c>
      <c r="T40" s="21" t="s">
        <v>53</v>
      </c>
      <c r="U40" s="21" t="s">
        <v>53</v>
      </c>
      <c r="V40" s="21" t="s">
        <v>53</v>
      </c>
      <c r="W40" s="21" t="s">
        <v>53</v>
      </c>
      <c r="X40" s="21" t="s">
        <v>54</v>
      </c>
      <c r="Y40" s="21" t="s">
        <v>54</v>
      </c>
      <c r="Z40" s="21" t="s">
        <v>53</v>
      </c>
      <c r="AA40" s="21" t="s">
        <v>53</v>
      </c>
      <c r="AB40" s="21" t="s">
        <v>53</v>
      </c>
      <c r="AC40" s="21" t="s">
        <v>56</v>
      </c>
      <c r="AD40" s="21" t="s">
        <v>53</v>
      </c>
      <c r="AE40" s="21" t="s">
        <v>54</v>
      </c>
      <c r="AF40" s="21" t="s">
        <v>54</v>
      </c>
      <c r="AG40" s="21">
        <f t="shared" si="12"/>
        <v>17</v>
      </c>
      <c r="AH40" s="21">
        <f t="shared" si="13"/>
        <v>3</v>
      </c>
      <c r="AI40" s="21">
        <f t="shared" si="14"/>
        <v>0</v>
      </c>
      <c r="AJ40" s="21">
        <f t="shared" si="15"/>
        <v>0</v>
      </c>
      <c r="AK40" s="21">
        <f t="shared" si="6"/>
        <v>0</v>
      </c>
      <c r="AL40" s="21">
        <f t="shared" si="7"/>
        <v>1</v>
      </c>
      <c r="AM40" s="21">
        <f t="shared" si="8"/>
        <v>1</v>
      </c>
      <c r="AN40" s="21">
        <f t="shared" si="9"/>
        <v>0</v>
      </c>
      <c r="AO40" s="21">
        <f t="shared" si="16"/>
        <v>1</v>
      </c>
      <c r="AP40" s="21">
        <f t="shared" si="11"/>
        <v>0</v>
      </c>
    </row>
    <row r="41" spans="1:42" ht="14.5" x14ac:dyDescent="0.35">
      <c r="A41" s="23" t="s">
        <v>92</v>
      </c>
      <c r="B41" s="21" t="s">
        <v>8</v>
      </c>
      <c r="C41" s="21" t="s">
        <v>54</v>
      </c>
      <c r="D41" s="21" t="s">
        <v>54</v>
      </c>
      <c r="E41" s="21" t="s">
        <v>53</v>
      </c>
      <c r="F41" s="21" t="s">
        <v>53</v>
      </c>
      <c r="G41" s="21" t="s">
        <v>53</v>
      </c>
      <c r="H41" s="21" t="s">
        <v>53</v>
      </c>
      <c r="I41" s="21" t="s">
        <v>53</v>
      </c>
      <c r="J41" s="21" t="s">
        <v>54</v>
      </c>
      <c r="K41" s="21" t="s">
        <v>54</v>
      </c>
      <c r="L41" s="21" t="s">
        <v>95</v>
      </c>
      <c r="M41" s="21" t="s">
        <v>53</v>
      </c>
      <c r="N41" s="21" t="s">
        <v>53</v>
      </c>
      <c r="O41" s="21" t="s">
        <v>53</v>
      </c>
      <c r="P41" s="21" t="s">
        <v>53</v>
      </c>
      <c r="Q41" s="21" t="s">
        <v>54</v>
      </c>
      <c r="R41" s="21" t="s">
        <v>54</v>
      </c>
      <c r="S41" s="21" t="s">
        <v>53</v>
      </c>
      <c r="T41" s="21" t="s">
        <v>53</v>
      </c>
      <c r="U41" s="21" t="s">
        <v>53</v>
      </c>
      <c r="V41" s="21" t="s">
        <v>53</v>
      </c>
      <c r="W41" s="21" t="s">
        <v>53</v>
      </c>
      <c r="X41" s="21" t="s">
        <v>54</v>
      </c>
      <c r="Y41" s="21" t="s">
        <v>54</v>
      </c>
      <c r="Z41" s="21" t="s">
        <v>53</v>
      </c>
      <c r="AA41" s="21" t="s">
        <v>53</v>
      </c>
      <c r="AB41" s="21" t="s">
        <v>53</v>
      </c>
      <c r="AC41" s="21" t="s">
        <v>4</v>
      </c>
      <c r="AD41" s="21" t="s">
        <v>62</v>
      </c>
      <c r="AE41" s="21" t="s">
        <v>54</v>
      </c>
      <c r="AF41" s="21" t="s">
        <v>54</v>
      </c>
      <c r="AG41" s="21">
        <f t="shared" si="12"/>
        <v>18</v>
      </c>
      <c r="AH41" s="21">
        <f t="shared" si="13"/>
        <v>0</v>
      </c>
      <c r="AI41" s="21">
        <f t="shared" si="14"/>
        <v>0</v>
      </c>
      <c r="AJ41" s="21">
        <f t="shared" si="15"/>
        <v>1</v>
      </c>
      <c r="AK41" s="21">
        <f t="shared" si="6"/>
        <v>0</v>
      </c>
      <c r="AL41" s="21">
        <f t="shared" si="7"/>
        <v>0</v>
      </c>
      <c r="AM41" s="21">
        <f t="shared" si="8"/>
        <v>0</v>
      </c>
      <c r="AN41" s="21">
        <f t="shared" si="9"/>
        <v>1</v>
      </c>
      <c r="AO41" s="21">
        <f t="shared" si="16"/>
        <v>0</v>
      </c>
      <c r="AP41" s="21">
        <f t="shared" si="11"/>
        <v>1</v>
      </c>
    </row>
    <row r="42" spans="1:42" ht="14.5" x14ac:dyDescent="0.35">
      <c r="A42" s="1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14"/>
      <c r="AH42" s="14"/>
      <c r="AI42" s="14"/>
      <c r="AJ42" s="14"/>
      <c r="AK42" s="14"/>
      <c r="AL42" s="14"/>
      <c r="AM42" s="14"/>
      <c r="AN42" s="14"/>
      <c r="AO42" s="14"/>
      <c r="AP42" s="14"/>
    </row>
    <row r="43" spans="1:42" ht="14.5" x14ac:dyDescent="0.35">
      <c r="A43" s="1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14"/>
      <c r="AH43" s="14"/>
      <c r="AI43" s="14"/>
      <c r="AJ43" s="14"/>
      <c r="AK43" s="14"/>
      <c r="AL43" s="14"/>
      <c r="AM43" s="14"/>
      <c r="AN43" s="14"/>
      <c r="AO43" s="14"/>
      <c r="AP43" s="14"/>
    </row>
    <row r="44" spans="1:42" ht="14.5" x14ac:dyDescent="0.35">
      <c r="A44" s="1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14"/>
      <c r="AH44" s="14"/>
      <c r="AI44" s="14"/>
      <c r="AJ44" s="14"/>
      <c r="AK44" s="14"/>
      <c r="AL44" s="14"/>
      <c r="AM44" s="14"/>
      <c r="AN44" s="14"/>
      <c r="AO44" s="14"/>
      <c r="AP44" s="14"/>
    </row>
    <row r="45" spans="1:42" ht="14.5" x14ac:dyDescent="0.35">
      <c r="A45" s="1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14"/>
      <c r="AH45" s="14"/>
      <c r="AI45" s="14"/>
      <c r="AJ45" s="14"/>
      <c r="AK45" s="14"/>
      <c r="AL45" s="14"/>
      <c r="AM45" s="14"/>
      <c r="AN45" s="14"/>
      <c r="AO45" s="14"/>
      <c r="AP45" s="14"/>
    </row>
    <row r="46" spans="1:42" ht="14.5" x14ac:dyDescent="0.35">
      <c r="A46" s="1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14"/>
      <c r="AH46" s="14"/>
      <c r="AI46" s="14"/>
      <c r="AJ46" s="14"/>
      <c r="AK46" s="14"/>
      <c r="AL46" s="14"/>
      <c r="AM46" s="14"/>
      <c r="AN46" s="14"/>
      <c r="AO46" s="14"/>
      <c r="AP46" s="14"/>
    </row>
    <row r="47" spans="1:42" ht="14.5" x14ac:dyDescent="0.35">
      <c r="A47" s="1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14"/>
      <c r="AH47" s="14"/>
      <c r="AI47" s="14"/>
      <c r="AJ47" s="14"/>
      <c r="AK47" s="14"/>
      <c r="AL47" s="14"/>
      <c r="AM47" s="14"/>
      <c r="AN47" s="14"/>
      <c r="AO47" s="14"/>
      <c r="AP47" s="14"/>
    </row>
    <row r="48" spans="1:42" ht="14.5" x14ac:dyDescent="0.35">
      <c r="A48" s="1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14"/>
      <c r="AH48" s="14"/>
      <c r="AI48" s="14"/>
      <c r="AJ48" s="14"/>
      <c r="AK48" s="14"/>
      <c r="AL48" s="14"/>
      <c r="AM48" s="14"/>
      <c r="AN48" s="14"/>
      <c r="AO48" s="14"/>
      <c r="AP48" s="14"/>
    </row>
    <row r="49" spans="1:42" ht="14.5" x14ac:dyDescent="0.35">
      <c r="A49" s="1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14"/>
      <c r="AH49" s="14"/>
      <c r="AI49" s="14"/>
      <c r="AJ49" s="14"/>
      <c r="AK49" s="14"/>
      <c r="AL49" s="14"/>
      <c r="AM49" s="14"/>
      <c r="AN49" s="14"/>
      <c r="AO49" s="14"/>
      <c r="AP49" s="14"/>
    </row>
    <row r="50" spans="1:42" ht="14.5" x14ac:dyDescent="0.35">
      <c r="A50" s="1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14"/>
      <c r="AH50" s="14"/>
      <c r="AI50" s="14"/>
      <c r="AJ50" s="14"/>
      <c r="AK50" s="14"/>
      <c r="AL50" s="14"/>
      <c r="AM50" s="14"/>
      <c r="AN50" s="14"/>
      <c r="AO50" s="14"/>
      <c r="AP50" s="14"/>
    </row>
    <row r="51" spans="1:42" ht="14.5" x14ac:dyDescent="0.35">
      <c r="A51" s="1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14"/>
      <c r="AH51" s="14"/>
      <c r="AI51" s="14"/>
      <c r="AJ51" s="14"/>
      <c r="AK51" s="14"/>
      <c r="AL51" s="14"/>
      <c r="AM51" s="14"/>
      <c r="AN51" s="14"/>
      <c r="AO51" s="14"/>
      <c r="AP51" s="14"/>
    </row>
    <row r="52" spans="1:42" ht="14.5" x14ac:dyDescent="0.35">
      <c r="A52" s="1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14"/>
      <c r="AH52" s="14"/>
      <c r="AI52" s="14"/>
      <c r="AJ52" s="14"/>
      <c r="AK52" s="14"/>
      <c r="AL52" s="14"/>
      <c r="AM52" s="14"/>
      <c r="AN52" s="14"/>
      <c r="AO52" s="14"/>
      <c r="AP52" s="14"/>
    </row>
    <row r="53" spans="1:42" ht="14.5" x14ac:dyDescent="0.35">
      <c r="A53" s="1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14"/>
      <c r="AH53" s="14"/>
      <c r="AI53" s="14"/>
      <c r="AJ53" s="14"/>
      <c r="AK53" s="14"/>
      <c r="AL53" s="14"/>
      <c r="AM53" s="14"/>
      <c r="AN53" s="14"/>
      <c r="AO53" s="14"/>
      <c r="AP53" s="14"/>
    </row>
    <row r="54" spans="1:42" ht="14.5" x14ac:dyDescent="0.35">
      <c r="A54" s="1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14"/>
      <c r="AH54" s="14"/>
      <c r="AI54" s="14"/>
      <c r="AJ54" s="14"/>
      <c r="AK54" s="14"/>
      <c r="AL54" s="14"/>
      <c r="AM54" s="14"/>
      <c r="AN54" s="14"/>
      <c r="AO54" s="14"/>
      <c r="AP54" s="14"/>
    </row>
    <row r="55" spans="1:42" ht="14.5" x14ac:dyDescent="0.35">
      <c r="A55" s="1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14"/>
      <c r="AH55" s="14"/>
      <c r="AI55" s="14"/>
      <c r="AJ55" s="14"/>
      <c r="AK55" s="14"/>
      <c r="AL55" s="14"/>
      <c r="AM55" s="14"/>
      <c r="AN55" s="14"/>
      <c r="AO55" s="14"/>
      <c r="AP55" s="14"/>
    </row>
    <row r="56" spans="1:42" ht="14.5" x14ac:dyDescent="0.35">
      <c r="A56" s="1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14"/>
      <c r="AH56" s="14"/>
      <c r="AI56" s="14"/>
      <c r="AJ56" s="14"/>
      <c r="AK56" s="14"/>
      <c r="AL56" s="14"/>
      <c r="AM56" s="14"/>
      <c r="AN56" s="14"/>
      <c r="AO56" s="14"/>
      <c r="AP56" s="14"/>
    </row>
    <row r="57" spans="1:42" ht="14.5" x14ac:dyDescent="0.35">
      <c r="A57" s="1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14"/>
      <c r="AH57" s="14"/>
      <c r="AI57" s="14"/>
      <c r="AJ57" s="14"/>
      <c r="AK57" s="14"/>
      <c r="AL57" s="14"/>
      <c r="AM57" s="14"/>
      <c r="AN57" s="14"/>
      <c r="AO57" s="14"/>
      <c r="AP57" s="14"/>
    </row>
    <row r="58" spans="1:42" ht="14.5" x14ac:dyDescent="0.35">
      <c r="A58" s="1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14"/>
      <c r="AH58" s="14"/>
      <c r="AI58" s="14"/>
      <c r="AJ58" s="14"/>
      <c r="AK58" s="14"/>
      <c r="AL58" s="14"/>
      <c r="AM58" s="14"/>
      <c r="AN58" s="14"/>
      <c r="AO58" s="14"/>
      <c r="AP58" s="14"/>
    </row>
    <row r="59" spans="1:42" ht="14.5" x14ac:dyDescent="0.35">
      <c r="A59" s="1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14"/>
      <c r="AH59" s="14"/>
      <c r="AI59" s="14"/>
      <c r="AJ59" s="14"/>
      <c r="AK59" s="14"/>
      <c r="AL59" s="14"/>
      <c r="AM59" s="14"/>
      <c r="AN59" s="14"/>
      <c r="AO59" s="14"/>
      <c r="AP59" s="14"/>
    </row>
    <row r="60" spans="1:42" ht="14.5" x14ac:dyDescent="0.35">
      <c r="A60" s="1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14"/>
      <c r="AH60" s="14"/>
      <c r="AI60" s="14"/>
      <c r="AJ60" s="14"/>
      <c r="AK60" s="14"/>
      <c r="AL60" s="14"/>
      <c r="AM60" s="14"/>
      <c r="AN60" s="14"/>
      <c r="AO60" s="14"/>
      <c r="AP60" s="14"/>
    </row>
    <row r="61" spans="1:42" ht="14.5" x14ac:dyDescent="0.35">
      <c r="A61" s="1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14"/>
      <c r="AH61" s="14"/>
      <c r="AI61" s="14"/>
      <c r="AJ61" s="14"/>
      <c r="AK61" s="14"/>
      <c r="AL61" s="14"/>
      <c r="AM61" s="14"/>
      <c r="AN61" s="14"/>
      <c r="AO61" s="14"/>
      <c r="AP61" s="14"/>
    </row>
    <row r="62" spans="1:42" ht="14.5" x14ac:dyDescent="0.35">
      <c r="A62" s="1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14"/>
      <c r="AH62" s="14"/>
      <c r="AI62" s="14"/>
      <c r="AJ62" s="14"/>
      <c r="AK62" s="14"/>
      <c r="AL62" s="14"/>
      <c r="AM62" s="14"/>
      <c r="AN62" s="14"/>
      <c r="AO62" s="14"/>
      <c r="AP62" s="14"/>
    </row>
    <row r="63" spans="1:42" ht="14.5" x14ac:dyDescent="0.35">
      <c r="A63" s="1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14"/>
      <c r="AH63" s="14"/>
      <c r="AI63" s="14"/>
      <c r="AJ63" s="14"/>
      <c r="AK63" s="14"/>
      <c r="AL63" s="14"/>
      <c r="AM63" s="14"/>
      <c r="AN63" s="14"/>
      <c r="AO63" s="14"/>
      <c r="AP63" s="14"/>
    </row>
    <row r="64" spans="1:42" ht="14.5" x14ac:dyDescent="0.35">
      <c r="A64" s="1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14"/>
      <c r="AH64" s="14"/>
      <c r="AI64" s="14"/>
      <c r="AJ64" s="14"/>
      <c r="AK64" s="14"/>
      <c r="AL64" s="14"/>
      <c r="AM64" s="14"/>
      <c r="AN64" s="14"/>
      <c r="AO64" s="14"/>
      <c r="AP64" s="14"/>
    </row>
    <row r="65" spans="1:42" ht="14.5" x14ac:dyDescent="0.35">
      <c r="A65" s="1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14"/>
      <c r="AH65" s="14"/>
      <c r="AI65" s="14"/>
      <c r="AJ65" s="14"/>
      <c r="AK65" s="14"/>
      <c r="AL65" s="14"/>
      <c r="AM65" s="14"/>
      <c r="AN65" s="14"/>
      <c r="AO65" s="14"/>
      <c r="AP65" s="14"/>
    </row>
    <row r="66" spans="1:42" ht="14.5" x14ac:dyDescent="0.35">
      <c r="A66" s="1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14"/>
      <c r="AH66" s="14"/>
      <c r="AI66" s="14"/>
      <c r="AJ66" s="14"/>
      <c r="AK66" s="14"/>
      <c r="AL66" s="14"/>
      <c r="AM66" s="14"/>
      <c r="AN66" s="14"/>
      <c r="AO66" s="14"/>
      <c r="AP66" s="14"/>
    </row>
    <row r="67" spans="1:42" ht="14.5" x14ac:dyDescent="0.35">
      <c r="A67" s="1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14"/>
      <c r="AH67" s="14"/>
      <c r="AI67" s="14"/>
      <c r="AJ67" s="14"/>
      <c r="AK67" s="14"/>
      <c r="AL67" s="14"/>
      <c r="AM67" s="14"/>
      <c r="AN67" s="14"/>
      <c r="AO67" s="14"/>
      <c r="AP67" s="14"/>
    </row>
    <row r="68" spans="1:42" ht="14.5" x14ac:dyDescent="0.35">
      <c r="A68" s="1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14"/>
      <c r="AH68" s="14"/>
      <c r="AI68" s="14"/>
      <c r="AJ68" s="14"/>
      <c r="AK68" s="14"/>
      <c r="AL68" s="14"/>
      <c r="AM68" s="14"/>
      <c r="AN68" s="14"/>
      <c r="AO68" s="14"/>
      <c r="AP68" s="14"/>
    </row>
    <row r="69" spans="1:42" ht="14.5" x14ac:dyDescent="0.35">
      <c r="A69" s="1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14"/>
      <c r="AH69" s="14"/>
      <c r="AI69" s="14"/>
      <c r="AJ69" s="14"/>
      <c r="AK69" s="14"/>
      <c r="AL69" s="14"/>
      <c r="AM69" s="14"/>
      <c r="AN69" s="14"/>
      <c r="AO69" s="14"/>
      <c r="AP69" s="14"/>
    </row>
    <row r="70" spans="1:42" ht="14.5" x14ac:dyDescent="0.35">
      <c r="A70" s="1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14"/>
      <c r="AH70" s="14"/>
      <c r="AI70" s="14"/>
      <c r="AJ70" s="14"/>
      <c r="AK70" s="14"/>
      <c r="AL70" s="14"/>
      <c r="AM70" s="14"/>
      <c r="AN70" s="14"/>
      <c r="AO70" s="14"/>
      <c r="AP70" s="14"/>
    </row>
    <row r="71" spans="1:42" ht="14.5" x14ac:dyDescent="0.35">
      <c r="A71" s="1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14"/>
      <c r="AH71" s="14"/>
      <c r="AI71" s="14"/>
      <c r="AJ71" s="14"/>
      <c r="AK71" s="14"/>
      <c r="AL71" s="14"/>
      <c r="AM71" s="14"/>
      <c r="AN71" s="14"/>
      <c r="AO71" s="14"/>
      <c r="AP71" s="14"/>
    </row>
    <row r="72" spans="1:42" ht="14.5" x14ac:dyDescent="0.35">
      <c r="A72" s="1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14"/>
      <c r="AH72" s="14"/>
      <c r="AI72" s="14"/>
      <c r="AJ72" s="14"/>
      <c r="AK72" s="14"/>
      <c r="AL72" s="14"/>
      <c r="AM72" s="14"/>
      <c r="AN72" s="14"/>
      <c r="AO72" s="14"/>
      <c r="AP72" s="14"/>
    </row>
    <row r="73" spans="1:42" ht="14.5" x14ac:dyDescent="0.35">
      <c r="A73" s="1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14"/>
      <c r="AH73" s="14"/>
      <c r="AI73" s="14"/>
      <c r="AJ73" s="14"/>
      <c r="AK73" s="14"/>
      <c r="AL73" s="14"/>
      <c r="AM73" s="14"/>
      <c r="AN73" s="14"/>
      <c r="AO73" s="14"/>
      <c r="AP73" s="14"/>
    </row>
    <row r="74" spans="1:42" ht="14.5" x14ac:dyDescent="0.35">
      <c r="A74" s="1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14"/>
      <c r="AH74" s="14"/>
      <c r="AI74" s="14"/>
      <c r="AJ74" s="14"/>
      <c r="AK74" s="14"/>
      <c r="AL74" s="14"/>
      <c r="AM74" s="14"/>
      <c r="AN74" s="14"/>
      <c r="AO74" s="14"/>
      <c r="AP74" s="14"/>
    </row>
    <row r="75" spans="1:42" ht="14.5" x14ac:dyDescent="0.35">
      <c r="A75" s="1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14"/>
      <c r="AH75" s="14"/>
      <c r="AI75" s="14"/>
      <c r="AJ75" s="14"/>
      <c r="AK75" s="14"/>
      <c r="AL75" s="14"/>
      <c r="AM75" s="14"/>
      <c r="AN75" s="14"/>
      <c r="AO75" s="14"/>
      <c r="AP75" s="14"/>
    </row>
    <row r="76" spans="1:42" ht="14.5" x14ac:dyDescent="0.35">
      <c r="A76" s="1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14"/>
      <c r="AH76" s="14"/>
      <c r="AI76" s="14"/>
      <c r="AJ76" s="14"/>
      <c r="AK76" s="14"/>
      <c r="AL76" s="14"/>
      <c r="AM76" s="14"/>
      <c r="AN76" s="14"/>
      <c r="AO76" s="14"/>
      <c r="AP76" s="14"/>
    </row>
    <row r="77" spans="1:42" ht="14.5" x14ac:dyDescent="0.35">
      <c r="A77" s="1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14"/>
      <c r="AH77" s="14"/>
      <c r="AI77" s="14"/>
      <c r="AJ77" s="14"/>
      <c r="AK77" s="14"/>
      <c r="AL77" s="14"/>
      <c r="AM77" s="14"/>
      <c r="AN77" s="14"/>
      <c r="AO77" s="14"/>
      <c r="AP77" s="14"/>
    </row>
    <row r="78" spans="1:42" ht="14.5" x14ac:dyDescent="0.35">
      <c r="A78" s="1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14"/>
      <c r="AH78" s="14"/>
      <c r="AI78" s="14"/>
      <c r="AJ78" s="14"/>
      <c r="AK78" s="14"/>
      <c r="AL78" s="14"/>
      <c r="AM78" s="14"/>
      <c r="AN78" s="14"/>
      <c r="AO78" s="14"/>
      <c r="AP78" s="14"/>
    </row>
    <row r="79" spans="1:42" ht="14.5" x14ac:dyDescent="0.35">
      <c r="A79" s="1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14"/>
      <c r="AH79" s="14"/>
      <c r="AI79" s="14"/>
      <c r="AJ79" s="14"/>
      <c r="AK79" s="14"/>
      <c r="AL79" s="14"/>
      <c r="AM79" s="14"/>
      <c r="AN79" s="14"/>
      <c r="AO79" s="14"/>
      <c r="AP79" s="14"/>
    </row>
    <row r="80" spans="1:42" ht="14.5" x14ac:dyDescent="0.35">
      <c r="A80" s="1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14"/>
      <c r="AH80" s="14"/>
      <c r="AI80" s="14"/>
      <c r="AJ80" s="14"/>
      <c r="AK80" s="14"/>
      <c r="AL80" s="14"/>
      <c r="AM80" s="14"/>
      <c r="AN80" s="14"/>
      <c r="AO80" s="14"/>
      <c r="AP80" s="14"/>
    </row>
    <row r="81" spans="1:42" ht="14.5" x14ac:dyDescent="0.35">
      <c r="A81" s="1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14"/>
      <c r="AH81" s="14"/>
      <c r="AI81" s="14"/>
      <c r="AJ81" s="14"/>
      <c r="AK81" s="14"/>
      <c r="AL81" s="14"/>
      <c r="AM81" s="14"/>
      <c r="AN81" s="14"/>
      <c r="AO81" s="14"/>
      <c r="AP81" s="14"/>
    </row>
    <row r="82" spans="1:42" ht="14.5" x14ac:dyDescent="0.35">
      <c r="A82" s="1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14"/>
      <c r="AH82" s="14"/>
      <c r="AI82" s="14"/>
      <c r="AJ82" s="14"/>
      <c r="AK82" s="14"/>
      <c r="AL82" s="14"/>
      <c r="AM82" s="14"/>
      <c r="AN82" s="14"/>
      <c r="AO82" s="14"/>
      <c r="AP82" s="14"/>
    </row>
    <row r="83" spans="1:42" ht="14.5" x14ac:dyDescent="0.35">
      <c r="A83" s="1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14"/>
      <c r="AH83" s="14"/>
      <c r="AI83" s="14"/>
      <c r="AJ83" s="14"/>
      <c r="AK83" s="14"/>
      <c r="AL83" s="14"/>
      <c r="AM83" s="14"/>
      <c r="AN83" s="14"/>
      <c r="AO83" s="14"/>
      <c r="AP83" s="14"/>
    </row>
    <row r="84" spans="1:42" ht="14.5" x14ac:dyDescent="0.35">
      <c r="A84" s="1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14"/>
      <c r="AH84" s="14"/>
      <c r="AI84" s="14"/>
      <c r="AJ84" s="14"/>
      <c r="AK84" s="14"/>
      <c r="AL84" s="14"/>
      <c r="AM84" s="14"/>
      <c r="AN84" s="14"/>
      <c r="AO84" s="14"/>
      <c r="AP84" s="14"/>
    </row>
    <row r="85" spans="1:42" ht="14.5" x14ac:dyDescent="0.35">
      <c r="A85" s="1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14"/>
      <c r="AH85" s="14"/>
      <c r="AI85" s="14"/>
      <c r="AJ85" s="14"/>
      <c r="AK85" s="14"/>
      <c r="AL85" s="14"/>
      <c r="AM85" s="14"/>
      <c r="AN85" s="14"/>
      <c r="AO85" s="14"/>
      <c r="AP85" s="14"/>
    </row>
    <row r="86" spans="1:42" ht="14.5" x14ac:dyDescent="0.35">
      <c r="A86" s="1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14"/>
      <c r="AH86" s="14"/>
      <c r="AI86" s="14"/>
      <c r="AJ86" s="14"/>
      <c r="AK86" s="14"/>
      <c r="AL86" s="14"/>
      <c r="AM86" s="14"/>
      <c r="AN86" s="14"/>
      <c r="AO86" s="14"/>
      <c r="AP86" s="14"/>
    </row>
    <row r="87" spans="1:42" ht="14.5" x14ac:dyDescent="0.35">
      <c r="A87" s="1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14"/>
      <c r="AH87" s="14"/>
      <c r="AI87" s="14"/>
      <c r="AJ87" s="14"/>
      <c r="AK87" s="14"/>
      <c r="AL87" s="14"/>
      <c r="AM87" s="14"/>
      <c r="AN87" s="14"/>
      <c r="AO87" s="14"/>
      <c r="AP87" s="14"/>
    </row>
    <row r="88" spans="1:42" ht="14.5" x14ac:dyDescent="0.35">
      <c r="A88" s="1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14"/>
      <c r="AH88" s="14"/>
      <c r="AI88" s="14"/>
      <c r="AJ88" s="14"/>
      <c r="AK88" s="14"/>
      <c r="AL88" s="14"/>
      <c r="AM88" s="14"/>
      <c r="AN88" s="14"/>
      <c r="AO88" s="14"/>
      <c r="AP88" s="14"/>
    </row>
    <row r="89" spans="1:42" ht="14.5" x14ac:dyDescent="0.35">
      <c r="A89" s="1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14"/>
      <c r="AH89" s="14"/>
      <c r="AI89" s="14"/>
      <c r="AJ89" s="14"/>
      <c r="AK89" s="14"/>
      <c r="AL89" s="14"/>
      <c r="AM89" s="14"/>
      <c r="AN89" s="14"/>
      <c r="AO89" s="14"/>
      <c r="AP89" s="14"/>
    </row>
    <row r="90" spans="1:42" ht="14.5" x14ac:dyDescent="0.35">
      <c r="A90" s="1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14"/>
      <c r="AH90" s="14"/>
      <c r="AI90" s="14"/>
      <c r="AJ90" s="14"/>
      <c r="AK90" s="14"/>
      <c r="AL90" s="14"/>
      <c r="AM90" s="14"/>
      <c r="AN90" s="14"/>
      <c r="AO90" s="14"/>
      <c r="AP90" s="14"/>
    </row>
    <row r="91" spans="1:42" ht="14.5" x14ac:dyDescent="0.35">
      <c r="A91" s="1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14"/>
      <c r="AH91" s="14"/>
      <c r="AI91" s="14"/>
      <c r="AJ91" s="14"/>
      <c r="AK91" s="14"/>
      <c r="AL91" s="14"/>
      <c r="AM91" s="14"/>
      <c r="AN91" s="14"/>
      <c r="AO91" s="14"/>
      <c r="AP91" s="14"/>
    </row>
    <row r="92" spans="1:42" ht="14.5" x14ac:dyDescent="0.35">
      <c r="A92" s="1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14"/>
      <c r="AH92" s="14"/>
      <c r="AI92" s="14"/>
      <c r="AJ92" s="14"/>
      <c r="AK92" s="14"/>
      <c r="AL92" s="14"/>
      <c r="AM92" s="14"/>
      <c r="AN92" s="14"/>
      <c r="AO92" s="14"/>
      <c r="AP92" s="14"/>
    </row>
    <row r="93" spans="1:42" ht="14.5" x14ac:dyDescent="0.35">
      <c r="A93" s="1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14"/>
      <c r="AH93" s="14"/>
      <c r="AI93" s="14"/>
      <c r="AJ93" s="14"/>
      <c r="AK93" s="14"/>
      <c r="AL93" s="14"/>
      <c r="AM93" s="14"/>
      <c r="AN93" s="14"/>
      <c r="AO93" s="14"/>
      <c r="AP93" s="14"/>
    </row>
    <row r="94" spans="1:42" ht="14.5" x14ac:dyDescent="0.35">
      <c r="A94" s="1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14"/>
      <c r="AH94" s="14"/>
      <c r="AI94" s="14"/>
      <c r="AJ94" s="14"/>
      <c r="AK94" s="14"/>
      <c r="AL94" s="14"/>
      <c r="AM94" s="14"/>
      <c r="AN94" s="14"/>
      <c r="AO94" s="14"/>
      <c r="AP94" s="14"/>
    </row>
    <row r="95" spans="1:42" ht="14.5" x14ac:dyDescent="0.35">
      <c r="A95" s="1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14"/>
      <c r="AH95" s="14"/>
      <c r="AI95" s="14"/>
      <c r="AJ95" s="14"/>
      <c r="AK95" s="14"/>
      <c r="AL95" s="14"/>
      <c r="AM95" s="14"/>
      <c r="AN95" s="14"/>
      <c r="AO95" s="14"/>
      <c r="AP95" s="14"/>
    </row>
    <row r="96" spans="1:42" ht="14.5" x14ac:dyDescent="0.35">
      <c r="A96" s="1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14"/>
      <c r="AH96" s="14"/>
      <c r="AI96" s="14"/>
      <c r="AJ96" s="14"/>
      <c r="AK96" s="14"/>
      <c r="AL96" s="14"/>
      <c r="AM96" s="14"/>
      <c r="AN96" s="14"/>
      <c r="AO96" s="14"/>
      <c r="AP96" s="14"/>
    </row>
    <row r="97" spans="1:42" ht="14.5" x14ac:dyDescent="0.35">
      <c r="A97" s="1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14"/>
      <c r="AH97" s="14"/>
      <c r="AI97" s="14"/>
      <c r="AJ97" s="14"/>
      <c r="AK97" s="14"/>
      <c r="AL97" s="14"/>
      <c r="AM97" s="14"/>
      <c r="AN97" s="14"/>
      <c r="AO97" s="14"/>
      <c r="AP97" s="14"/>
    </row>
    <row r="98" spans="1:42" ht="14.5" x14ac:dyDescent="0.35">
      <c r="A98" s="1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14"/>
      <c r="AH98" s="14"/>
      <c r="AI98" s="14"/>
      <c r="AJ98" s="14"/>
      <c r="AK98" s="14"/>
      <c r="AL98" s="14"/>
      <c r="AM98" s="14"/>
      <c r="AN98" s="14"/>
      <c r="AO98" s="14"/>
      <c r="AP98" s="14"/>
    </row>
    <row r="99" spans="1:42" ht="14.5" x14ac:dyDescent="0.35">
      <c r="A99" s="1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14"/>
      <c r="AH99" s="14"/>
      <c r="AI99" s="14"/>
      <c r="AJ99" s="14"/>
      <c r="AK99" s="14"/>
      <c r="AL99" s="14"/>
      <c r="AM99" s="14"/>
      <c r="AN99" s="14"/>
      <c r="AO99" s="14"/>
      <c r="AP99" s="14"/>
    </row>
    <row r="100" spans="1:42" ht="14.5" x14ac:dyDescent="0.35">
      <c r="A100" s="1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</row>
    <row r="101" spans="1:42" ht="14.5" x14ac:dyDescent="0.35">
      <c r="A101" s="1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</row>
    <row r="102" spans="1:42" ht="14.5" x14ac:dyDescent="0.35">
      <c r="A102" s="1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</row>
    <row r="103" spans="1:42" ht="14.5" x14ac:dyDescent="0.35">
      <c r="A103" s="1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</row>
    <row r="104" spans="1:42" ht="14.5" x14ac:dyDescent="0.35">
      <c r="A104" s="1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</row>
    <row r="105" spans="1:42" ht="14.5" x14ac:dyDescent="0.35">
      <c r="A105" s="1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</row>
    <row r="106" spans="1:42" ht="14.5" x14ac:dyDescent="0.35">
      <c r="A106" s="1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</row>
    <row r="107" spans="1:42" ht="14.5" x14ac:dyDescent="0.35">
      <c r="A107" s="1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</row>
    <row r="108" spans="1:42" ht="14.5" x14ac:dyDescent="0.35">
      <c r="A108" s="1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</row>
    <row r="109" spans="1:42" ht="14.5" x14ac:dyDescent="0.35">
      <c r="A109" s="1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</row>
    <row r="110" spans="1:42" ht="14.5" x14ac:dyDescent="0.35">
      <c r="A110" s="1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</row>
    <row r="111" spans="1:42" ht="14.5" x14ac:dyDescent="0.35">
      <c r="A111" s="1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</row>
    <row r="112" spans="1:42" ht="14.5" x14ac:dyDescent="0.35">
      <c r="A112" s="1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</row>
    <row r="113" spans="1:42" ht="14.5" x14ac:dyDescent="0.35">
      <c r="A113" s="1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</row>
    <row r="114" spans="1:42" ht="14.5" x14ac:dyDescent="0.35">
      <c r="A114" s="1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</row>
    <row r="115" spans="1:42" ht="14.5" x14ac:dyDescent="0.35">
      <c r="A115" s="1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</row>
    <row r="116" spans="1:42" ht="14.5" x14ac:dyDescent="0.35">
      <c r="A116" s="1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</row>
    <row r="117" spans="1:42" ht="14.5" x14ac:dyDescent="0.35">
      <c r="A117" s="1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</row>
    <row r="118" spans="1:42" ht="14.5" x14ac:dyDescent="0.35">
      <c r="A118" s="1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</row>
    <row r="119" spans="1:42" ht="14.5" x14ac:dyDescent="0.35">
      <c r="A119" s="1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</row>
    <row r="120" spans="1:42" ht="14.5" x14ac:dyDescent="0.35">
      <c r="A120" s="1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</row>
    <row r="121" spans="1:42" ht="14.5" x14ac:dyDescent="0.35">
      <c r="A121" s="1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</row>
    <row r="122" spans="1:42" ht="14.5" x14ac:dyDescent="0.35">
      <c r="A122" s="1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</row>
    <row r="123" spans="1:42" ht="14.5" x14ac:dyDescent="0.35">
      <c r="A123" s="1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</row>
    <row r="124" spans="1:42" ht="14.5" x14ac:dyDescent="0.35">
      <c r="A124" s="1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</row>
    <row r="125" spans="1:42" ht="14.5" x14ac:dyDescent="0.35">
      <c r="A125" s="1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</row>
    <row r="126" spans="1:42" ht="14.5" x14ac:dyDescent="0.35">
      <c r="A126" s="1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</row>
    <row r="127" spans="1:42" ht="14.5" x14ac:dyDescent="0.35">
      <c r="A127" s="1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</row>
    <row r="128" spans="1:42" ht="14.5" x14ac:dyDescent="0.35">
      <c r="A128" s="1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</row>
    <row r="129" spans="1:42" ht="14.5" x14ac:dyDescent="0.35">
      <c r="A129" s="1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</row>
    <row r="130" spans="1:42" ht="14.5" x14ac:dyDescent="0.35">
      <c r="A130" s="1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</row>
    <row r="131" spans="1:42" ht="14.5" x14ac:dyDescent="0.35">
      <c r="A131" s="1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</row>
    <row r="132" spans="1:42" ht="14.5" x14ac:dyDescent="0.35">
      <c r="A132" s="1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</row>
    <row r="133" spans="1:42" ht="14.5" x14ac:dyDescent="0.35">
      <c r="A133" s="1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</row>
    <row r="134" spans="1:42" ht="14.5" x14ac:dyDescent="0.35">
      <c r="A134" s="1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</row>
    <row r="135" spans="1:42" ht="14.5" x14ac:dyDescent="0.35">
      <c r="A135" s="1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</row>
    <row r="136" spans="1:42" ht="14.5" x14ac:dyDescent="0.35">
      <c r="A136" s="1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</row>
    <row r="137" spans="1:42" ht="14.5" x14ac:dyDescent="0.35">
      <c r="A137" s="1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</row>
    <row r="138" spans="1:42" ht="14.5" x14ac:dyDescent="0.35">
      <c r="A138" s="1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</row>
    <row r="139" spans="1:42" ht="14.5" x14ac:dyDescent="0.35">
      <c r="A139" s="1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</row>
    <row r="140" spans="1:42" ht="14.5" x14ac:dyDescent="0.35">
      <c r="A140" s="1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</row>
    <row r="141" spans="1:42" ht="14.5" x14ac:dyDescent="0.35">
      <c r="A141" s="1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</row>
    <row r="142" spans="1:42" ht="14.5" x14ac:dyDescent="0.35">
      <c r="A142" s="1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</row>
    <row r="143" spans="1:42" ht="14.5" x14ac:dyDescent="0.35">
      <c r="A143" s="1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</row>
    <row r="144" spans="1:42" ht="14.5" x14ac:dyDescent="0.35">
      <c r="A144" s="1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</row>
    <row r="145" spans="1:42" ht="14.5" x14ac:dyDescent="0.35">
      <c r="A145" s="1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</row>
    <row r="146" spans="1:42" ht="14.5" x14ac:dyDescent="0.35">
      <c r="A146" s="1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</row>
    <row r="147" spans="1:42" ht="14.5" x14ac:dyDescent="0.35">
      <c r="A147" s="1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</row>
    <row r="148" spans="1:42" ht="14.5" x14ac:dyDescent="0.35">
      <c r="A148" s="1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</row>
    <row r="149" spans="1:42" ht="14.5" x14ac:dyDescent="0.35">
      <c r="A149" s="1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</row>
    <row r="150" spans="1:42" ht="14.5" x14ac:dyDescent="0.35">
      <c r="A150" s="1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</row>
    <row r="151" spans="1:42" ht="14.5" x14ac:dyDescent="0.35">
      <c r="A151" s="1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</row>
    <row r="152" spans="1:42" ht="14.5" x14ac:dyDescent="0.35">
      <c r="A152" s="1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</row>
    <row r="153" spans="1:42" ht="14.5" x14ac:dyDescent="0.35">
      <c r="A153" s="1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</row>
    <row r="154" spans="1:42" ht="14.5" x14ac:dyDescent="0.35">
      <c r="A154" s="1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</row>
    <row r="155" spans="1:42" ht="14.5" x14ac:dyDescent="0.35">
      <c r="A155" s="1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</row>
    <row r="156" spans="1:42" ht="14.5" x14ac:dyDescent="0.35">
      <c r="A156" s="1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</row>
    <row r="157" spans="1:42" ht="14.5" x14ac:dyDescent="0.35">
      <c r="A157" s="1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</row>
    <row r="158" spans="1:42" ht="14.5" x14ac:dyDescent="0.35">
      <c r="A158" s="1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</row>
    <row r="159" spans="1:42" ht="14.5" x14ac:dyDescent="0.35">
      <c r="A159" s="1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</row>
    <row r="160" spans="1:42" ht="14.5" x14ac:dyDescent="0.35">
      <c r="A160" s="1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</row>
    <row r="161" spans="1:42" ht="14.5" x14ac:dyDescent="0.35">
      <c r="A161" s="1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</row>
    <row r="162" spans="1:42" ht="14.5" x14ac:dyDescent="0.35">
      <c r="A162" s="1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</row>
    <row r="163" spans="1:42" ht="14.5" x14ac:dyDescent="0.35">
      <c r="A163" s="1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</row>
    <row r="164" spans="1:42" ht="14.5" x14ac:dyDescent="0.35">
      <c r="A164" s="1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</row>
    <row r="165" spans="1:42" ht="14.5" x14ac:dyDescent="0.35">
      <c r="A165" s="1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</row>
    <row r="166" spans="1:42" ht="14.5" x14ac:dyDescent="0.35">
      <c r="A166" s="1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</row>
    <row r="167" spans="1:42" ht="14.5" x14ac:dyDescent="0.35">
      <c r="A167" s="1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</row>
    <row r="168" spans="1:42" ht="14.5" x14ac:dyDescent="0.35">
      <c r="A168" s="1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</row>
    <row r="169" spans="1:42" ht="14.5" x14ac:dyDescent="0.35">
      <c r="A169" s="1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</row>
    <row r="170" spans="1:42" ht="14.5" x14ac:dyDescent="0.35">
      <c r="A170" s="1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</row>
    <row r="171" spans="1:42" ht="14.5" x14ac:dyDescent="0.35">
      <c r="A171" s="1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</row>
    <row r="172" spans="1:42" ht="14.5" x14ac:dyDescent="0.35">
      <c r="A172" s="1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</row>
    <row r="173" spans="1:42" ht="14.5" x14ac:dyDescent="0.35">
      <c r="A173" s="1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</row>
    <row r="174" spans="1:42" ht="14.5" x14ac:dyDescent="0.35">
      <c r="A174" s="1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</row>
    <row r="175" spans="1:42" ht="14.5" x14ac:dyDescent="0.35">
      <c r="A175" s="1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</row>
    <row r="176" spans="1:42" ht="14.5" x14ac:dyDescent="0.35">
      <c r="A176" s="1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</row>
    <row r="177" spans="1:42" ht="14.5" x14ac:dyDescent="0.35">
      <c r="A177" s="1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</row>
    <row r="178" spans="1:42" ht="14.5" x14ac:dyDescent="0.35">
      <c r="A178" s="1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</row>
    <row r="179" spans="1:42" ht="14.5" x14ac:dyDescent="0.35">
      <c r="A179" s="1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</row>
    <row r="180" spans="1:42" ht="14.5" x14ac:dyDescent="0.35">
      <c r="A180" s="1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</row>
    <row r="181" spans="1:42" ht="14.5" x14ac:dyDescent="0.35">
      <c r="A181" s="1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</row>
    <row r="182" spans="1:42" ht="14.5" x14ac:dyDescent="0.35">
      <c r="A182" s="1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</row>
    <row r="183" spans="1:42" ht="14.5" x14ac:dyDescent="0.35">
      <c r="A183" s="1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</row>
    <row r="184" spans="1:42" ht="14.5" x14ac:dyDescent="0.35">
      <c r="A184" s="1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</row>
    <row r="185" spans="1:42" ht="14.5" x14ac:dyDescent="0.35">
      <c r="A185" s="1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</row>
    <row r="186" spans="1:42" ht="14.5" x14ac:dyDescent="0.35">
      <c r="A186" s="1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</row>
    <row r="187" spans="1:42" ht="14.5" x14ac:dyDescent="0.35">
      <c r="A187" s="1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</row>
    <row r="188" spans="1:42" ht="14.5" x14ac:dyDescent="0.35">
      <c r="A188" s="1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</row>
    <row r="189" spans="1:42" ht="14.5" x14ac:dyDescent="0.35">
      <c r="A189" s="1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</row>
    <row r="190" spans="1:42" ht="14.5" x14ac:dyDescent="0.35">
      <c r="A190" s="1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</row>
    <row r="191" spans="1:42" ht="14.5" x14ac:dyDescent="0.35">
      <c r="A191" s="1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</row>
    <row r="192" spans="1:42" ht="14.5" x14ac:dyDescent="0.35">
      <c r="A192" s="1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</row>
    <row r="193" spans="1:42" ht="14.5" x14ac:dyDescent="0.35">
      <c r="A193" s="1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</row>
    <row r="194" spans="1:42" ht="14.5" x14ac:dyDescent="0.35">
      <c r="A194" s="1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</row>
    <row r="195" spans="1:42" ht="14.5" x14ac:dyDescent="0.35">
      <c r="A195" s="1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</row>
    <row r="196" spans="1:42" ht="14.5" x14ac:dyDescent="0.35">
      <c r="A196" s="1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</row>
    <row r="197" spans="1:42" ht="14.5" x14ac:dyDescent="0.35">
      <c r="A197" s="1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</row>
    <row r="198" spans="1:42" ht="14.5" x14ac:dyDescent="0.35">
      <c r="A198" s="1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</row>
    <row r="199" spans="1:42" ht="14.5" x14ac:dyDescent="0.35">
      <c r="A199" s="1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</row>
    <row r="200" spans="1:42" ht="14.5" x14ac:dyDescent="0.35">
      <c r="A200" s="1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</row>
    <row r="201" spans="1:42" ht="14.5" x14ac:dyDescent="0.35">
      <c r="A201" s="1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</row>
    <row r="202" spans="1:42" ht="14.5" x14ac:dyDescent="0.35">
      <c r="A202" s="1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</row>
    <row r="203" spans="1:42" ht="14.5" x14ac:dyDescent="0.35">
      <c r="A203" s="1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</row>
    <row r="204" spans="1:42" ht="14.5" x14ac:dyDescent="0.35">
      <c r="A204" s="1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</row>
    <row r="205" spans="1:42" ht="14.5" x14ac:dyDescent="0.35">
      <c r="A205" s="1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</row>
    <row r="206" spans="1:42" ht="14.5" x14ac:dyDescent="0.35">
      <c r="A206" s="1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</row>
    <row r="207" spans="1:42" ht="14.5" x14ac:dyDescent="0.35">
      <c r="A207" s="1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</row>
    <row r="208" spans="1:42" ht="14.5" x14ac:dyDescent="0.35">
      <c r="A208" s="1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</row>
    <row r="209" spans="1:42" ht="14.5" x14ac:dyDescent="0.35">
      <c r="A209" s="1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</row>
    <row r="210" spans="1:42" ht="14.5" x14ac:dyDescent="0.35">
      <c r="A210" s="1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</row>
    <row r="211" spans="1:42" ht="14.5" x14ac:dyDescent="0.35">
      <c r="A211" s="1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</row>
    <row r="212" spans="1:42" ht="14.5" x14ac:dyDescent="0.35">
      <c r="A212" s="1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</row>
    <row r="213" spans="1:42" ht="14.5" x14ac:dyDescent="0.35">
      <c r="A213" s="1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</row>
    <row r="214" spans="1:42" ht="14.5" x14ac:dyDescent="0.35">
      <c r="A214" s="1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</row>
    <row r="215" spans="1:42" ht="14.5" x14ac:dyDescent="0.35">
      <c r="A215" s="1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</row>
    <row r="216" spans="1:42" ht="14.5" x14ac:dyDescent="0.35">
      <c r="A216" s="1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</row>
    <row r="217" spans="1:42" ht="14.5" x14ac:dyDescent="0.35">
      <c r="A217" s="1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</row>
    <row r="218" spans="1:42" ht="14.5" x14ac:dyDescent="0.35">
      <c r="A218" s="1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</row>
    <row r="219" spans="1:42" ht="14.5" x14ac:dyDescent="0.35">
      <c r="A219" s="1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</row>
    <row r="220" spans="1:42" ht="14.5" x14ac:dyDescent="0.35">
      <c r="A220" s="1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</row>
    <row r="221" spans="1:42" ht="14.5" x14ac:dyDescent="0.35">
      <c r="A221" s="1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</row>
    <row r="222" spans="1:42" ht="14.5" x14ac:dyDescent="0.35">
      <c r="A222" s="1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</row>
    <row r="223" spans="1:42" ht="14.5" x14ac:dyDescent="0.35">
      <c r="A223" s="1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</row>
    <row r="224" spans="1:42" ht="14.5" x14ac:dyDescent="0.35">
      <c r="A224" s="1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</row>
    <row r="225" spans="1:42" ht="14.5" x14ac:dyDescent="0.35">
      <c r="A225" s="1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</row>
    <row r="226" spans="1:42" ht="14.5" x14ac:dyDescent="0.35">
      <c r="A226" s="1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</row>
    <row r="227" spans="1:42" ht="14.5" x14ac:dyDescent="0.35">
      <c r="A227" s="1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</row>
    <row r="228" spans="1:42" ht="14.5" x14ac:dyDescent="0.35">
      <c r="A228" s="1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</row>
    <row r="229" spans="1:42" ht="14.5" x14ac:dyDescent="0.35">
      <c r="A229" s="1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</row>
    <row r="230" spans="1:42" ht="14.5" x14ac:dyDescent="0.35">
      <c r="A230" s="1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</row>
    <row r="231" spans="1:42" ht="14.5" x14ac:dyDescent="0.35">
      <c r="A231" s="1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</row>
    <row r="232" spans="1:42" ht="14.5" x14ac:dyDescent="0.35">
      <c r="A232" s="1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</row>
    <row r="233" spans="1:42" ht="14.5" x14ac:dyDescent="0.35">
      <c r="A233" s="1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</row>
    <row r="234" spans="1:42" ht="14.5" x14ac:dyDescent="0.35">
      <c r="A234" s="1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</row>
    <row r="235" spans="1:42" ht="14.5" x14ac:dyDescent="0.35">
      <c r="A235" s="1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</row>
    <row r="236" spans="1:42" ht="14.5" x14ac:dyDescent="0.35">
      <c r="A236" s="1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</row>
    <row r="237" spans="1:42" ht="14.5" x14ac:dyDescent="0.35">
      <c r="A237" s="1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</row>
    <row r="238" spans="1:42" ht="14.5" x14ac:dyDescent="0.35">
      <c r="A238" s="1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</row>
    <row r="239" spans="1:42" ht="14.5" x14ac:dyDescent="0.35">
      <c r="A239" s="1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</row>
    <row r="240" spans="1:42" ht="14.5" x14ac:dyDescent="0.35">
      <c r="A240" s="1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</row>
    <row r="241" spans="1:42" ht="14.5" x14ac:dyDescent="0.35">
      <c r="A241" s="1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</row>
    <row r="242" spans="1:42" ht="14.5" x14ac:dyDescent="0.35">
      <c r="A242" s="1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</row>
    <row r="243" spans="1:42" ht="14.5" x14ac:dyDescent="0.35">
      <c r="A243" s="1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</row>
    <row r="244" spans="1:42" ht="14.5" x14ac:dyDescent="0.35">
      <c r="A244" s="1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</row>
    <row r="245" spans="1:42" ht="14.5" x14ac:dyDescent="0.35">
      <c r="A245" s="1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</row>
    <row r="246" spans="1:42" ht="14.5" x14ac:dyDescent="0.35">
      <c r="A246" s="1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</row>
    <row r="247" spans="1:42" ht="14.5" x14ac:dyDescent="0.35">
      <c r="A247" s="1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</row>
    <row r="248" spans="1:42" ht="14.5" x14ac:dyDescent="0.35">
      <c r="A248" s="1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</row>
    <row r="249" spans="1:42" ht="14.5" x14ac:dyDescent="0.35">
      <c r="A249" s="1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</row>
    <row r="250" spans="1:42" ht="14.5" x14ac:dyDescent="0.35">
      <c r="A250" s="1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</row>
    <row r="251" spans="1:42" ht="14.5" x14ac:dyDescent="0.35">
      <c r="A251" s="1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</row>
    <row r="252" spans="1:42" ht="14.5" x14ac:dyDescent="0.35">
      <c r="A252" s="1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</row>
    <row r="253" spans="1:42" ht="14.5" x14ac:dyDescent="0.35">
      <c r="A253" s="1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</row>
    <row r="254" spans="1:42" ht="14.5" x14ac:dyDescent="0.35">
      <c r="A254" s="1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</row>
    <row r="255" spans="1:42" ht="14.5" x14ac:dyDescent="0.35">
      <c r="A255" s="1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</row>
    <row r="256" spans="1:42" ht="14.5" x14ac:dyDescent="0.35">
      <c r="A256" s="1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</row>
    <row r="257" spans="1:42" ht="14.5" x14ac:dyDescent="0.35">
      <c r="A257" s="1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</row>
    <row r="258" spans="1:42" ht="14.5" x14ac:dyDescent="0.35">
      <c r="A258" s="1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</row>
    <row r="259" spans="1:42" ht="14.5" x14ac:dyDescent="0.35">
      <c r="A259" s="1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</row>
    <row r="260" spans="1:42" ht="14.5" x14ac:dyDescent="0.35">
      <c r="A260" s="1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</row>
    <row r="261" spans="1:42" ht="14.5" x14ac:dyDescent="0.35">
      <c r="A261" s="1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</row>
    <row r="262" spans="1:42" ht="14.5" x14ac:dyDescent="0.35">
      <c r="A262" s="1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</row>
    <row r="263" spans="1:42" ht="14.5" x14ac:dyDescent="0.35">
      <c r="A263" s="1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</row>
    <row r="264" spans="1:42" ht="14.5" x14ac:dyDescent="0.35">
      <c r="A264" s="1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</row>
    <row r="265" spans="1:42" ht="14.5" x14ac:dyDescent="0.35">
      <c r="A265" s="1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</row>
    <row r="266" spans="1:42" ht="14.5" x14ac:dyDescent="0.35">
      <c r="A266" s="1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</row>
    <row r="267" spans="1:42" ht="14.5" x14ac:dyDescent="0.35">
      <c r="A267" s="1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</row>
    <row r="268" spans="1:42" ht="14.5" x14ac:dyDescent="0.35">
      <c r="A268" s="1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</row>
    <row r="269" spans="1:42" ht="14.5" x14ac:dyDescent="0.35">
      <c r="A269" s="1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</row>
    <row r="270" spans="1:42" ht="14.5" x14ac:dyDescent="0.35">
      <c r="A270" s="1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</row>
    <row r="271" spans="1:42" ht="14.5" x14ac:dyDescent="0.35">
      <c r="A271" s="1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</row>
    <row r="272" spans="1:42" ht="14.5" x14ac:dyDescent="0.35">
      <c r="A272" s="1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</row>
    <row r="273" spans="1:42" ht="14.5" x14ac:dyDescent="0.35">
      <c r="A273" s="1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</row>
    <row r="274" spans="1:42" ht="14.5" x14ac:dyDescent="0.35">
      <c r="A274" s="1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</row>
    <row r="275" spans="1:42" ht="14.5" x14ac:dyDescent="0.35">
      <c r="A275" s="1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</row>
    <row r="276" spans="1:42" ht="14.5" x14ac:dyDescent="0.35">
      <c r="A276" s="1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</row>
    <row r="277" spans="1:42" ht="14.5" x14ac:dyDescent="0.35">
      <c r="A277" s="1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</row>
    <row r="278" spans="1:42" ht="14.5" x14ac:dyDescent="0.35">
      <c r="A278" s="1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</row>
    <row r="279" spans="1:42" ht="14.5" x14ac:dyDescent="0.35">
      <c r="A279" s="1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</row>
    <row r="280" spans="1:42" ht="14.5" x14ac:dyDescent="0.35">
      <c r="A280" s="1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</row>
    <row r="281" spans="1:42" ht="14.5" x14ac:dyDescent="0.35">
      <c r="A281" s="1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</row>
    <row r="282" spans="1:42" ht="14.5" x14ac:dyDescent="0.35">
      <c r="A282" s="1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</row>
    <row r="283" spans="1:42" ht="14.5" x14ac:dyDescent="0.35">
      <c r="A283" s="1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</row>
    <row r="284" spans="1:42" ht="14.5" x14ac:dyDescent="0.35">
      <c r="A284" s="1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</row>
    <row r="285" spans="1:42" ht="14.5" x14ac:dyDescent="0.35">
      <c r="A285" s="1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</row>
    <row r="286" spans="1:42" ht="14.5" x14ac:dyDescent="0.35">
      <c r="A286" s="1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</row>
    <row r="287" spans="1:42" ht="14.5" x14ac:dyDescent="0.35">
      <c r="A287" s="1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</row>
    <row r="288" spans="1:42" ht="14.5" x14ac:dyDescent="0.35">
      <c r="A288" s="1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</row>
    <row r="289" spans="1:42" ht="14.5" x14ac:dyDescent="0.35">
      <c r="A289" s="1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</row>
    <row r="290" spans="1:42" ht="14.5" x14ac:dyDescent="0.35">
      <c r="A290" s="1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</row>
    <row r="291" spans="1:42" ht="14.5" x14ac:dyDescent="0.35">
      <c r="A291" s="1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</row>
    <row r="292" spans="1:42" ht="14.5" x14ac:dyDescent="0.35">
      <c r="A292" s="1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</row>
    <row r="293" spans="1:42" ht="14.5" x14ac:dyDescent="0.35">
      <c r="A293" s="1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</row>
    <row r="294" spans="1:42" ht="14.5" x14ac:dyDescent="0.35">
      <c r="A294" s="1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</row>
    <row r="295" spans="1:42" ht="14.5" x14ac:dyDescent="0.35">
      <c r="A295" s="1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</row>
    <row r="296" spans="1:42" ht="14.5" x14ac:dyDescent="0.35">
      <c r="A296" s="1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</row>
    <row r="297" spans="1:42" ht="14.5" x14ac:dyDescent="0.35">
      <c r="A297" s="1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</row>
    <row r="298" spans="1:42" ht="14.5" x14ac:dyDescent="0.35">
      <c r="A298" s="1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</row>
    <row r="299" spans="1:42" ht="14.5" x14ac:dyDescent="0.35">
      <c r="A299" s="1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</row>
    <row r="300" spans="1:42" ht="14.5" x14ac:dyDescent="0.35">
      <c r="A300" s="1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</row>
    <row r="301" spans="1:42" ht="14.5" x14ac:dyDescent="0.35">
      <c r="A301" s="1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</row>
    <row r="302" spans="1:42" ht="14.5" x14ac:dyDescent="0.35">
      <c r="A302" s="1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</row>
    <row r="303" spans="1:42" ht="14.5" x14ac:dyDescent="0.35">
      <c r="A303" s="1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</row>
    <row r="304" spans="1:42" ht="14.5" x14ac:dyDescent="0.35">
      <c r="A304" s="1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</row>
    <row r="305" spans="1:42" ht="14.5" x14ac:dyDescent="0.35">
      <c r="A305" s="1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</row>
    <row r="306" spans="1:42" ht="14.5" x14ac:dyDescent="0.35">
      <c r="A306" s="1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</row>
    <row r="307" spans="1:42" ht="14.5" x14ac:dyDescent="0.35">
      <c r="A307" s="1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</row>
    <row r="308" spans="1:42" ht="14.5" x14ac:dyDescent="0.35">
      <c r="A308" s="1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</row>
    <row r="309" spans="1:42" ht="14.5" x14ac:dyDescent="0.35">
      <c r="A309" s="1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</row>
    <row r="310" spans="1:42" ht="14.5" x14ac:dyDescent="0.35">
      <c r="A310" s="1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</row>
    <row r="311" spans="1:42" ht="14.5" x14ac:dyDescent="0.35">
      <c r="A311" s="1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</row>
    <row r="312" spans="1:42" ht="14.5" x14ac:dyDescent="0.35">
      <c r="A312" s="1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</row>
    <row r="313" spans="1:42" ht="14.5" x14ac:dyDescent="0.35">
      <c r="A313" s="1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</row>
    <row r="314" spans="1:42" ht="14.5" x14ac:dyDescent="0.35">
      <c r="A314" s="1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</row>
    <row r="315" spans="1:42" ht="14.5" x14ac:dyDescent="0.35">
      <c r="A315" s="1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</row>
    <row r="316" spans="1:42" ht="14.5" x14ac:dyDescent="0.35">
      <c r="A316" s="1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</row>
    <row r="317" spans="1:42" ht="14.5" x14ac:dyDescent="0.35">
      <c r="A317" s="1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</row>
    <row r="318" spans="1:42" ht="14.5" x14ac:dyDescent="0.35">
      <c r="A318" s="1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</row>
    <row r="319" spans="1:42" ht="14.5" x14ac:dyDescent="0.35">
      <c r="A319" s="1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</row>
    <row r="320" spans="1:42" ht="14.5" x14ac:dyDescent="0.35">
      <c r="A320" s="1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</row>
    <row r="321" spans="1:42" ht="14.5" x14ac:dyDescent="0.35">
      <c r="A321" s="1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</row>
    <row r="322" spans="1:42" ht="14.5" x14ac:dyDescent="0.35">
      <c r="A322" s="1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</row>
    <row r="323" spans="1:42" ht="14.5" x14ac:dyDescent="0.35">
      <c r="A323" s="1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</row>
    <row r="324" spans="1:42" ht="14.5" x14ac:dyDescent="0.35">
      <c r="A324" s="1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</row>
    <row r="325" spans="1:42" ht="14.5" x14ac:dyDescent="0.35">
      <c r="A325" s="1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</row>
    <row r="326" spans="1:42" ht="14.5" x14ac:dyDescent="0.35">
      <c r="A326" s="1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</row>
    <row r="327" spans="1:42" ht="14.5" x14ac:dyDescent="0.35">
      <c r="A327" s="1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</row>
    <row r="328" spans="1:42" ht="14.5" x14ac:dyDescent="0.35">
      <c r="A328" s="1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</row>
    <row r="329" spans="1:42" ht="14.5" x14ac:dyDescent="0.35">
      <c r="A329" s="1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</row>
    <row r="330" spans="1:42" ht="14.5" x14ac:dyDescent="0.35">
      <c r="A330" s="1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</row>
    <row r="331" spans="1:42" ht="14.5" x14ac:dyDescent="0.35">
      <c r="A331" s="1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</row>
    <row r="332" spans="1:42" ht="14.5" x14ac:dyDescent="0.35">
      <c r="A332" s="1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</row>
    <row r="333" spans="1:42" ht="14.5" x14ac:dyDescent="0.35">
      <c r="A333" s="1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</row>
    <row r="334" spans="1:42" ht="14.5" x14ac:dyDescent="0.35">
      <c r="A334" s="1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</row>
    <row r="335" spans="1:42" ht="14.5" x14ac:dyDescent="0.35">
      <c r="A335" s="1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</row>
    <row r="336" spans="1:42" ht="14.5" x14ac:dyDescent="0.35">
      <c r="A336" s="1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</row>
    <row r="337" spans="1:42" ht="14.5" x14ac:dyDescent="0.35">
      <c r="A337" s="1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</row>
    <row r="338" spans="1:42" ht="14.5" x14ac:dyDescent="0.35">
      <c r="A338" s="1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</row>
    <row r="339" spans="1:42" ht="14.5" x14ac:dyDescent="0.35">
      <c r="A339" s="1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</row>
    <row r="340" spans="1:42" ht="14.5" x14ac:dyDescent="0.35">
      <c r="A340" s="1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</row>
    <row r="341" spans="1:42" ht="14.5" x14ac:dyDescent="0.35">
      <c r="A341" s="1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</row>
    <row r="342" spans="1:42" ht="14.5" x14ac:dyDescent="0.35">
      <c r="A342" s="1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</row>
    <row r="343" spans="1:42" ht="14.5" x14ac:dyDescent="0.35">
      <c r="A343" s="1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</row>
    <row r="344" spans="1:42" ht="14.5" x14ac:dyDescent="0.35">
      <c r="A344" s="1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</row>
    <row r="345" spans="1:42" ht="14.5" x14ac:dyDescent="0.35">
      <c r="A345" s="1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</row>
    <row r="346" spans="1:42" ht="14.5" x14ac:dyDescent="0.35">
      <c r="A346" s="1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</row>
    <row r="347" spans="1:42" ht="14.5" x14ac:dyDescent="0.35">
      <c r="A347" s="1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</row>
    <row r="348" spans="1:42" ht="14.5" x14ac:dyDescent="0.35">
      <c r="A348" s="1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</row>
    <row r="349" spans="1:42" ht="14.5" x14ac:dyDescent="0.35">
      <c r="A349" s="1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</row>
    <row r="350" spans="1:42" ht="14.5" x14ac:dyDescent="0.35">
      <c r="A350" s="1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</row>
    <row r="351" spans="1:42" ht="14.5" x14ac:dyDescent="0.35">
      <c r="A351" s="1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</row>
    <row r="352" spans="1:42" ht="14.5" x14ac:dyDescent="0.35">
      <c r="A352" s="1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</row>
    <row r="353" spans="1:42" ht="14.5" x14ac:dyDescent="0.35">
      <c r="A353" s="1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</row>
    <row r="354" spans="1:42" ht="14.5" x14ac:dyDescent="0.35">
      <c r="A354" s="1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</row>
    <row r="355" spans="1:42" ht="14.5" x14ac:dyDescent="0.35">
      <c r="A355" s="1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</row>
    <row r="356" spans="1:42" ht="14.5" x14ac:dyDescent="0.35">
      <c r="A356" s="1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</row>
    <row r="357" spans="1:42" ht="14.5" x14ac:dyDescent="0.35">
      <c r="A357" s="1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</row>
    <row r="358" spans="1:42" ht="14.5" x14ac:dyDescent="0.35">
      <c r="A358" s="1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</row>
    <row r="359" spans="1:42" ht="14.5" x14ac:dyDescent="0.35">
      <c r="A359" s="1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</row>
    <row r="360" spans="1:42" ht="14.5" x14ac:dyDescent="0.35">
      <c r="A360" s="1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</row>
    <row r="361" spans="1:42" ht="14.5" x14ac:dyDescent="0.35">
      <c r="A361" s="1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</row>
    <row r="362" spans="1:42" ht="14.5" x14ac:dyDescent="0.35">
      <c r="A362" s="1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</row>
    <row r="363" spans="1:42" ht="14.5" x14ac:dyDescent="0.35">
      <c r="A363" s="1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</row>
    <row r="364" spans="1:42" ht="14.5" x14ac:dyDescent="0.35">
      <c r="A364" s="1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</row>
    <row r="365" spans="1:42" ht="14.5" x14ac:dyDescent="0.35">
      <c r="A365" s="1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</row>
    <row r="366" spans="1:42" ht="14.5" x14ac:dyDescent="0.35">
      <c r="A366" s="1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</row>
    <row r="367" spans="1:42" ht="14.5" x14ac:dyDescent="0.35">
      <c r="A367" s="1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</row>
    <row r="368" spans="1:42" ht="14.5" x14ac:dyDescent="0.35">
      <c r="A368" s="1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</row>
    <row r="369" spans="1:42" ht="14.5" x14ac:dyDescent="0.35">
      <c r="A369" s="1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</row>
    <row r="370" spans="1:42" ht="14.5" x14ac:dyDescent="0.35">
      <c r="A370" s="1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</row>
    <row r="371" spans="1:42" ht="14.5" x14ac:dyDescent="0.35">
      <c r="A371" s="1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</row>
    <row r="372" spans="1:42" ht="14.5" x14ac:dyDescent="0.35">
      <c r="A372" s="1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</row>
    <row r="373" spans="1:42" ht="14.5" x14ac:dyDescent="0.35">
      <c r="A373" s="1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</row>
    <row r="374" spans="1:42" ht="14.5" x14ac:dyDescent="0.35">
      <c r="A374" s="1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</row>
    <row r="375" spans="1:42" ht="14.5" x14ac:dyDescent="0.35">
      <c r="A375" s="1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</row>
    <row r="376" spans="1:42" ht="14.5" x14ac:dyDescent="0.35">
      <c r="A376" s="1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</row>
    <row r="377" spans="1:42" ht="14.5" x14ac:dyDescent="0.35">
      <c r="A377" s="1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</row>
    <row r="378" spans="1:42" ht="14.5" x14ac:dyDescent="0.35">
      <c r="A378" s="1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</row>
    <row r="379" spans="1:42" ht="14.5" x14ac:dyDescent="0.35">
      <c r="A379" s="1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</row>
    <row r="380" spans="1:42" ht="14.5" x14ac:dyDescent="0.35">
      <c r="A380" s="1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</row>
    <row r="381" spans="1:42" ht="14.5" x14ac:dyDescent="0.35">
      <c r="A381" s="1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</row>
    <row r="382" spans="1:42" ht="14.5" x14ac:dyDescent="0.35">
      <c r="A382" s="1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</row>
    <row r="383" spans="1:42" ht="14.5" x14ac:dyDescent="0.35">
      <c r="A383" s="1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</row>
    <row r="384" spans="1:42" ht="14.5" x14ac:dyDescent="0.35">
      <c r="A384" s="1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</row>
    <row r="385" spans="1:42" ht="14.5" x14ac:dyDescent="0.35">
      <c r="A385" s="1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</row>
    <row r="386" spans="1:42" ht="14.5" x14ac:dyDescent="0.35">
      <c r="A386" s="1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</row>
    <row r="387" spans="1:42" ht="14.5" x14ac:dyDescent="0.35">
      <c r="A387" s="1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</row>
    <row r="388" spans="1:42" ht="14.5" x14ac:dyDescent="0.35">
      <c r="A388" s="1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</row>
    <row r="389" spans="1:42" ht="14.5" x14ac:dyDescent="0.35">
      <c r="A389" s="1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</row>
    <row r="390" spans="1:42" ht="14.5" x14ac:dyDescent="0.35">
      <c r="A390" s="1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</row>
    <row r="391" spans="1:42" ht="14.5" x14ac:dyDescent="0.35">
      <c r="A391" s="1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</row>
    <row r="392" spans="1:42" ht="14.5" x14ac:dyDescent="0.35">
      <c r="A392" s="1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</row>
    <row r="393" spans="1:42" ht="14.5" x14ac:dyDescent="0.35">
      <c r="A393" s="1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</row>
    <row r="394" spans="1:42" ht="14.5" x14ac:dyDescent="0.35">
      <c r="A394" s="1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</row>
    <row r="395" spans="1:42" ht="14.5" x14ac:dyDescent="0.35">
      <c r="A395" s="1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</row>
    <row r="396" spans="1:42" ht="14.5" x14ac:dyDescent="0.35">
      <c r="A396" s="1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</row>
    <row r="397" spans="1:42" ht="14.5" x14ac:dyDescent="0.35">
      <c r="A397" s="1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</row>
    <row r="398" spans="1:42" ht="14.5" x14ac:dyDescent="0.35">
      <c r="A398" s="1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</row>
    <row r="399" spans="1:42" ht="14.5" x14ac:dyDescent="0.35">
      <c r="A399" s="1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</row>
    <row r="400" spans="1:42" ht="14.5" x14ac:dyDescent="0.35">
      <c r="A400" s="1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</row>
    <row r="401" spans="1:42" ht="14.5" x14ac:dyDescent="0.35">
      <c r="A401" s="1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</row>
    <row r="402" spans="1:42" ht="14.5" x14ac:dyDescent="0.35">
      <c r="A402" s="1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</row>
    <row r="403" spans="1:42" ht="14.5" x14ac:dyDescent="0.35">
      <c r="A403" s="1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</row>
    <row r="404" spans="1:42" ht="14.5" x14ac:dyDescent="0.35">
      <c r="A404" s="1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</row>
    <row r="405" spans="1:42" ht="14.5" x14ac:dyDescent="0.35">
      <c r="A405" s="1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</row>
    <row r="406" spans="1:42" ht="14.5" x14ac:dyDescent="0.35">
      <c r="A406" s="1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</row>
    <row r="407" spans="1:42" ht="14.5" x14ac:dyDescent="0.35">
      <c r="A407" s="1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</row>
    <row r="408" spans="1:42" ht="14.5" x14ac:dyDescent="0.35">
      <c r="A408" s="1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</row>
    <row r="409" spans="1:42" ht="14.5" x14ac:dyDescent="0.35">
      <c r="A409" s="1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</row>
    <row r="410" spans="1:42" ht="14.5" x14ac:dyDescent="0.35">
      <c r="A410" s="1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</row>
    <row r="411" spans="1:42" ht="14.5" x14ac:dyDescent="0.35">
      <c r="A411" s="1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</row>
    <row r="412" spans="1:42" ht="14.5" x14ac:dyDescent="0.35">
      <c r="A412" s="1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</row>
    <row r="413" spans="1:42" ht="14.5" x14ac:dyDescent="0.35">
      <c r="A413" s="1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</row>
    <row r="414" spans="1:42" ht="14.5" x14ac:dyDescent="0.35">
      <c r="A414" s="1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</row>
    <row r="415" spans="1:42" ht="14.5" x14ac:dyDescent="0.35">
      <c r="A415" s="1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</row>
    <row r="416" spans="1:42" ht="14.5" x14ac:dyDescent="0.35">
      <c r="A416" s="1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</row>
    <row r="417" spans="1:42" ht="14.5" x14ac:dyDescent="0.35">
      <c r="A417" s="1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</row>
    <row r="418" spans="1:42" ht="14.5" x14ac:dyDescent="0.35">
      <c r="A418" s="1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</row>
    <row r="419" spans="1:42" ht="14.5" x14ac:dyDescent="0.35">
      <c r="A419" s="1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</row>
    <row r="420" spans="1:42" ht="14.5" x14ac:dyDescent="0.35">
      <c r="A420" s="1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</row>
    <row r="421" spans="1:42" ht="14.5" x14ac:dyDescent="0.35">
      <c r="A421" s="1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</row>
    <row r="422" spans="1:42" ht="14.5" x14ac:dyDescent="0.35">
      <c r="A422" s="1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</row>
    <row r="423" spans="1:42" ht="14.5" x14ac:dyDescent="0.35">
      <c r="A423" s="1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</row>
    <row r="424" spans="1:42" ht="14.5" x14ac:dyDescent="0.35">
      <c r="A424" s="1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</row>
    <row r="425" spans="1:42" ht="14.5" x14ac:dyDescent="0.35">
      <c r="A425" s="1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</row>
    <row r="426" spans="1:42" ht="14.5" x14ac:dyDescent="0.35">
      <c r="A426" s="1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</row>
    <row r="427" spans="1:42" ht="14.5" x14ac:dyDescent="0.35">
      <c r="A427" s="1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</row>
    <row r="428" spans="1:42" ht="14.5" x14ac:dyDescent="0.35">
      <c r="A428" s="1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</row>
    <row r="429" spans="1:42" ht="14.5" x14ac:dyDescent="0.35">
      <c r="A429" s="1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</row>
    <row r="430" spans="1:42" ht="14.5" x14ac:dyDescent="0.35">
      <c r="A430" s="1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</row>
    <row r="431" spans="1:42" ht="14.5" x14ac:dyDescent="0.35">
      <c r="A431" s="1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</row>
    <row r="432" spans="1:42" ht="14.5" x14ac:dyDescent="0.35">
      <c r="A432" s="1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</row>
    <row r="433" spans="1:42" ht="14.5" x14ac:dyDescent="0.35">
      <c r="A433" s="1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</row>
    <row r="434" spans="1:42" ht="14.5" x14ac:dyDescent="0.35">
      <c r="A434" s="1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</row>
    <row r="435" spans="1:42" ht="14.5" x14ac:dyDescent="0.35">
      <c r="A435" s="1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</row>
    <row r="436" spans="1:42" ht="14.5" x14ac:dyDescent="0.35">
      <c r="A436" s="1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</row>
    <row r="437" spans="1:42" ht="14.5" x14ac:dyDescent="0.35">
      <c r="A437" s="1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</row>
    <row r="438" spans="1:42" ht="14.5" x14ac:dyDescent="0.35">
      <c r="A438" s="1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</row>
    <row r="439" spans="1:42" ht="14.5" x14ac:dyDescent="0.35">
      <c r="A439" s="1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</row>
    <row r="440" spans="1:42" ht="14.5" x14ac:dyDescent="0.35">
      <c r="A440" s="1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</row>
    <row r="441" spans="1:42" ht="14.5" x14ac:dyDescent="0.35">
      <c r="A441" s="1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</row>
    <row r="442" spans="1:42" ht="14.5" x14ac:dyDescent="0.35">
      <c r="A442" s="1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</row>
    <row r="443" spans="1:42" ht="14.5" x14ac:dyDescent="0.35">
      <c r="A443" s="1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</row>
    <row r="444" spans="1:42" ht="14.5" x14ac:dyDescent="0.35">
      <c r="A444" s="1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</row>
    <row r="445" spans="1:42" ht="14.5" x14ac:dyDescent="0.35">
      <c r="A445" s="1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</row>
    <row r="446" spans="1:42" ht="14.5" x14ac:dyDescent="0.35">
      <c r="A446" s="1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</row>
    <row r="447" spans="1:42" ht="14.5" x14ac:dyDescent="0.35">
      <c r="A447" s="1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</row>
    <row r="448" spans="1:42" ht="14.5" x14ac:dyDescent="0.35">
      <c r="A448" s="1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</row>
    <row r="449" spans="1:42" ht="14.5" x14ac:dyDescent="0.35">
      <c r="A449" s="1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</row>
    <row r="450" spans="1:42" ht="14.5" x14ac:dyDescent="0.35">
      <c r="A450" s="1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</row>
    <row r="451" spans="1:42" ht="14.5" x14ac:dyDescent="0.35">
      <c r="A451" s="1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</row>
    <row r="452" spans="1:42" ht="14.5" x14ac:dyDescent="0.35">
      <c r="A452" s="1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</row>
    <row r="453" spans="1:42" ht="14.5" x14ac:dyDescent="0.35">
      <c r="A453" s="1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</row>
    <row r="454" spans="1:42" ht="14.5" x14ac:dyDescent="0.35">
      <c r="A454" s="1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</row>
    <row r="455" spans="1:42" ht="14.5" x14ac:dyDescent="0.35">
      <c r="A455" s="1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</row>
    <row r="456" spans="1:42" ht="14.5" x14ac:dyDescent="0.35">
      <c r="A456" s="1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</row>
    <row r="457" spans="1:42" ht="14.5" x14ac:dyDescent="0.35">
      <c r="A457" s="1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</row>
    <row r="458" spans="1:42" ht="14.5" x14ac:dyDescent="0.35">
      <c r="A458" s="1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</row>
    <row r="459" spans="1:42" ht="14.5" x14ac:dyDescent="0.35">
      <c r="A459" s="1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</row>
    <row r="460" spans="1:42" ht="14.5" x14ac:dyDescent="0.35">
      <c r="A460" s="1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</row>
    <row r="461" spans="1:42" ht="14.5" x14ac:dyDescent="0.35">
      <c r="A461" s="1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</row>
    <row r="462" spans="1:42" ht="14.5" x14ac:dyDescent="0.35">
      <c r="A462" s="1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</row>
    <row r="463" spans="1:42" ht="14.5" x14ac:dyDescent="0.35">
      <c r="A463" s="1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</row>
    <row r="464" spans="1:42" ht="14.5" x14ac:dyDescent="0.35">
      <c r="A464" s="1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</row>
    <row r="465" spans="1:42" ht="14.5" x14ac:dyDescent="0.35">
      <c r="A465" s="1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</row>
    <row r="466" spans="1:42" ht="14.5" x14ac:dyDescent="0.35">
      <c r="A466" s="1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</row>
    <row r="467" spans="1:42" ht="14.5" x14ac:dyDescent="0.35">
      <c r="A467" s="1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</row>
    <row r="468" spans="1:42" ht="14.5" x14ac:dyDescent="0.35">
      <c r="A468" s="1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</row>
    <row r="469" spans="1:42" ht="14.5" x14ac:dyDescent="0.35">
      <c r="A469" s="1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</row>
    <row r="470" spans="1:42" ht="14.5" x14ac:dyDescent="0.35">
      <c r="A470" s="1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</row>
    <row r="471" spans="1:42" ht="14.5" x14ac:dyDescent="0.35">
      <c r="A471" s="1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</row>
    <row r="472" spans="1:42" ht="14.5" x14ac:dyDescent="0.35">
      <c r="A472" s="1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</row>
    <row r="473" spans="1:42" ht="14.5" x14ac:dyDescent="0.35">
      <c r="A473" s="1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</row>
    <row r="474" spans="1:42" ht="14.5" x14ac:dyDescent="0.35">
      <c r="A474" s="1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</row>
    <row r="475" spans="1:42" ht="14.5" x14ac:dyDescent="0.35">
      <c r="A475" s="1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</row>
    <row r="476" spans="1:42" ht="14.5" x14ac:dyDescent="0.35">
      <c r="A476" s="1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</row>
    <row r="477" spans="1:42" ht="14.5" x14ac:dyDescent="0.35">
      <c r="A477" s="1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</row>
    <row r="478" spans="1:42" ht="14.5" x14ac:dyDescent="0.35">
      <c r="A478" s="1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</row>
    <row r="479" spans="1:42" ht="14.5" x14ac:dyDescent="0.35">
      <c r="A479" s="1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</row>
    <row r="480" spans="1:42" ht="14.5" x14ac:dyDescent="0.35">
      <c r="A480" s="1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</row>
    <row r="481" spans="1:42" ht="14.5" x14ac:dyDescent="0.35">
      <c r="A481" s="1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</row>
    <row r="482" spans="1:42" ht="14.5" x14ac:dyDescent="0.35">
      <c r="A482" s="1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</row>
    <row r="483" spans="1:42" ht="14.5" x14ac:dyDescent="0.35">
      <c r="A483" s="1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</row>
    <row r="484" spans="1:42" ht="14.5" x14ac:dyDescent="0.35">
      <c r="A484" s="1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</row>
    <row r="485" spans="1:42" ht="14.5" x14ac:dyDescent="0.35">
      <c r="A485" s="1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</row>
    <row r="486" spans="1:42" ht="14.5" x14ac:dyDescent="0.35">
      <c r="A486" s="1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</row>
    <row r="487" spans="1:42" ht="14.5" x14ac:dyDescent="0.35">
      <c r="A487" s="1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</row>
    <row r="488" spans="1:42" ht="14.5" x14ac:dyDescent="0.35">
      <c r="A488" s="1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</row>
    <row r="489" spans="1:42" ht="14.5" x14ac:dyDescent="0.35">
      <c r="A489" s="1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</row>
    <row r="490" spans="1:42" ht="14.5" x14ac:dyDescent="0.35">
      <c r="A490" s="1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</row>
    <row r="491" spans="1:42" ht="14.5" x14ac:dyDescent="0.35">
      <c r="A491" s="1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</row>
    <row r="492" spans="1:42" ht="14.5" x14ac:dyDescent="0.35">
      <c r="A492" s="1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</row>
    <row r="493" spans="1:42" ht="14.5" x14ac:dyDescent="0.35">
      <c r="A493" s="1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</row>
    <row r="494" spans="1:42" ht="14.5" x14ac:dyDescent="0.35">
      <c r="A494" s="1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</row>
    <row r="495" spans="1:42" ht="14.5" x14ac:dyDescent="0.35">
      <c r="A495" s="1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</row>
    <row r="496" spans="1:42" ht="14.5" x14ac:dyDescent="0.35">
      <c r="A496" s="1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</row>
    <row r="497" spans="1:42" ht="14.5" x14ac:dyDescent="0.35">
      <c r="A497" s="1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</row>
    <row r="498" spans="1:42" ht="14.5" x14ac:dyDescent="0.35">
      <c r="A498" s="1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</row>
    <row r="499" spans="1:42" ht="14.5" x14ac:dyDescent="0.35">
      <c r="A499" s="1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</row>
    <row r="500" spans="1:42" ht="14.5" x14ac:dyDescent="0.35">
      <c r="A500" s="1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</row>
    <row r="501" spans="1:42" ht="14.5" x14ac:dyDescent="0.35">
      <c r="A501" s="1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</row>
    <row r="502" spans="1:42" ht="14.5" x14ac:dyDescent="0.35">
      <c r="A502" s="1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</row>
    <row r="503" spans="1:42" ht="14.5" x14ac:dyDescent="0.35">
      <c r="A503" s="1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</row>
    <row r="504" spans="1:42" ht="14.5" x14ac:dyDescent="0.35">
      <c r="A504" s="1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</row>
    <row r="505" spans="1:42" ht="14.5" x14ac:dyDescent="0.35">
      <c r="A505" s="1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</row>
    <row r="506" spans="1:42" ht="14.5" x14ac:dyDescent="0.35">
      <c r="A506" s="1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</row>
    <row r="507" spans="1:42" ht="14.5" x14ac:dyDescent="0.35">
      <c r="A507" s="1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</row>
    <row r="508" spans="1:42" ht="14.5" x14ac:dyDescent="0.35">
      <c r="A508" s="1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</row>
    <row r="509" spans="1:42" ht="14.5" x14ac:dyDescent="0.35">
      <c r="A509" s="1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</row>
    <row r="510" spans="1:42" ht="14.5" x14ac:dyDescent="0.35">
      <c r="A510" s="1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</row>
    <row r="511" spans="1:42" ht="14.5" x14ac:dyDescent="0.35">
      <c r="A511" s="1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</row>
    <row r="512" spans="1:42" ht="14.5" x14ac:dyDescent="0.35">
      <c r="A512" s="1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</row>
    <row r="513" spans="1:42" ht="14.5" x14ac:dyDescent="0.35">
      <c r="A513" s="1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</row>
    <row r="514" spans="1:42" ht="14.5" x14ac:dyDescent="0.35">
      <c r="A514" s="1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</row>
    <row r="515" spans="1:42" ht="14.5" x14ac:dyDescent="0.35">
      <c r="A515" s="1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</row>
    <row r="516" spans="1:42" ht="14.5" x14ac:dyDescent="0.35">
      <c r="A516" s="1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</row>
    <row r="517" spans="1:42" ht="14.5" x14ac:dyDescent="0.35">
      <c r="A517" s="1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</row>
    <row r="518" spans="1:42" ht="14.5" x14ac:dyDescent="0.35">
      <c r="A518" s="1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</row>
    <row r="519" spans="1:42" ht="14.5" x14ac:dyDescent="0.35">
      <c r="A519" s="1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</row>
    <row r="520" spans="1:42" ht="14.5" x14ac:dyDescent="0.35">
      <c r="A520" s="1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</row>
    <row r="521" spans="1:42" ht="14.5" x14ac:dyDescent="0.35">
      <c r="A521" s="1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</row>
    <row r="522" spans="1:42" ht="14.5" x14ac:dyDescent="0.35">
      <c r="A522" s="1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</row>
    <row r="523" spans="1:42" ht="14.5" x14ac:dyDescent="0.35">
      <c r="A523" s="1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</row>
    <row r="524" spans="1:42" ht="14.5" x14ac:dyDescent="0.35">
      <c r="A524" s="1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</row>
    <row r="525" spans="1:42" ht="14.5" x14ac:dyDescent="0.35">
      <c r="A525" s="1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</row>
    <row r="526" spans="1:42" ht="14.5" x14ac:dyDescent="0.35">
      <c r="A526" s="1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</row>
    <row r="527" spans="1:42" ht="14.5" x14ac:dyDescent="0.35">
      <c r="A527" s="1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</row>
    <row r="528" spans="1:42" ht="14.5" x14ac:dyDescent="0.35">
      <c r="A528" s="1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</row>
    <row r="529" spans="1:42" ht="14.5" x14ac:dyDescent="0.35">
      <c r="A529" s="1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</row>
    <row r="530" spans="1:42" ht="14.5" x14ac:dyDescent="0.35">
      <c r="A530" s="1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</row>
    <row r="531" spans="1:42" ht="14.5" x14ac:dyDescent="0.35">
      <c r="A531" s="1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</row>
    <row r="532" spans="1:42" ht="14.5" x14ac:dyDescent="0.35">
      <c r="A532" s="1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</row>
    <row r="533" spans="1:42" ht="14.5" x14ac:dyDescent="0.35">
      <c r="A533" s="1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</row>
    <row r="534" spans="1:42" ht="14.5" x14ac:dyDescent="0.35">
      <c r="A534" s="1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</row>
    <row r="535" spans="1:42" ht="14.5" x14ac:dyDescent="0.35">
      <c r="A535" s="1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</row>
    <row r="536" spans="1:42" ht="14.5" x14ac:dyDescent="0.35">
      <c r="A536" s="1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</row>
    <row r="537" spans="1:42" ht="14.5" x14ac:dyDescent="0.35">
      <c r="A537" s="1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</row>
    <row r="538" spans="1:42" ht="14.5" x14ac:dyDescent="0.35">
      <c r="A538" s="1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</row>
    <row r="539" spans="1:42" ht="14.5" x14ac:dyDescent="0.35">
      <c r="A539" s="1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</row>
    <row r="540" spans="1:42" ht="14.5" x14ac:dyDescent="0.35">
      <c r="A540" s="1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</row>
    <row r="541" spans="1:42" ht="14.5" x14ac:dyDescent="0.35">
      <c r="A541" s="1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</row>
    <row r="542" spans="1:42" ht="14.5" x14ac:dyDescent="0.35">
      <c r="A542" s="1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</row>
    <row r="543" spans="1:42" ht="14.5" x14ac:dyDescent="0.35">
      <c r="A543" s="1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</row>
    <row r="544" spans="1:42" ht="14.5" x14ac:dyDescent="0.35">
      <c r="A544" s="1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</row>
    <row r="545" spans="1:42" ht="14.5" x14ac:dyDescent="0.35">
      <c r="A545" s="1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</row>
    <row r="546" spans="1:42" ht="14.5" x14ac:dyDescent="0.35">
      <c r="A546" s="1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</row>
    <row r="547" spans="1:42" ht="14.5" x14ac:dyDescent="0.35">
      <c r="A547" s="1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</row>
    <row r="548" spans="1:42" ht="14.5" x14ac:dyDescent="0.35">
      <c r="A548" s="1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</row>
    <row r="549" spans="1:42" ht="14.5" x14ac:dyDescent="0.35">
      <c r="A549" s="1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</row>
    <row r="550" spans="1:42" ht="14.5" x14ac:dyDescent="0.35">
      <c r="A550" s="1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</row>
    <row r="551" spans="1:42" ht="14.5" x14ac:dyDescent="0.35">
      <c r="A551" s="1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</row>
    <row r="552" spans="1:42" ht="14.5" x14ac:dyDescent="0.35">
      <c r="A552" s="1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</row>
    <row r="553" spans="1:42" ht="14.5" x14ac:dyDescent="0.35">
      <c r="A553" s="1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</row>
    <row r="554" spans="1:42" ht="14.5" x14ac:dyDescent="0.35">
      <c r="A554" s="1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</row>
    <row r="555" spans="1:42" ht="14.5" x14ac:dyDescent="0.35">
      <c r="A555" s="1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</row>
    <row r="556" spans="1:42" ht="14.5" x14ac:dyDescent="0.35">
      <c r="A556" s="1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</row>
    <row r="557" spans="1:42" ht="14.5" x14ac:dyDescent="0.35">
      <c r="A557" s="1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</row>
    <row r="558" spans="1:42" ht="14.5" x14ac:dyDescent="0.35">
      <c r="A558" s="1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</row>
    <row r="559" spans="1:42" ht="14.5" x14ac:dyDescent="0.35">
      <c r="A559" s="1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</row>
    <row r="560" spans="1:42" ht="14.5" x14ac:dyDescent="0.35">
      <c r="A560" s="1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</row>
    <row r="561" spans="1:42" ht="14.5" x14ac:dyDescent="0.35">
      <c r="A561" s="1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</row>
    <row r="562" spans="1:42" ht="14.5" x14ac:dyDescent="0.35">
      <c r="A562" s="1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</row>
    <row r="563" spans="1:42" ht="14.5" x14ac:dyDescent="0.35">
      <c r="A563" s="1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</row>
    <row r="564" spans="1:42" ht="14.5" x14ac:dyDescent="0.35">
      <c r="A564" s="1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</row>
    <row r="565" spans="1:42" ht="14.5" x14ac:dyDescent="0.35">
      <c r="A565" s="1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</row>
    <row r="566" spans="1:42" ht="14.5" x14ac:dyDescent="0.35">
      <c r="A566" s="1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</row>
    <row r="567" spans="1:42" ht="14.5" x14ac:dyDescent="0.35">
      <c r="A567" s="1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</row>
    <row r="568" spans="1:42" ht="14.5" x14ac:dyDescent="0.35">
      <c r="A568" s="1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</row>
    <row r="569" spans="1:42" ht="14.5" x14ac:dyDescent="0.35">
      <c r="A569" s="1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</row>
    <row r="570" spans="1:42" ht="14.5" x14ac:dyDescent="0.35">
      <c r="A570" s="1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</row>
    <row r="571" spans="1:42" ht="14.5" x14ac:dyDescent="0.35">
      <c r="A571" s="1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</row>
    <row r="572" spans="1:42" ht="14.5" x14ac:dyDescent="0.35">
      <c r="A572" s="1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</row>
    <row r="573" spans="1:42" ht="14.5" x14ac:dyDescent="0.35">
      <c r="A573" s="1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</row>
    <row r="574" spans="1:42" ht="14.5" x14ac:dyDescent="0.35">
      <c r="A574" s="1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</row>
    <row r="575" spans="1:42" ht="14.5" x14ac:dyDescent="0.35">
      <c r="A575" s="1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</row>
    <row r="576" spans="1:42" ht="14.5" x14ac:dyDescent="0.35">
      <c r="A576" s="1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</row>
    <row r="577" spans="1:42" ht="14.5" x14ac:dyDescent="0.35">
      <c r="A577" s="1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</row>
    <row r="578" spans="1:42" ht="14.5" x14ac:dyDescent="0.35">
      <c r="A578" s="1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</row>
    <row r="579" spans="1:42" ht="14.5" x14ac:dyDescent="0.35">
      <c r="A579" s="1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</row>
    <row r="580" spans="1:42" ht="14.5" x14ac:dyDescent="0.35">
      <c r="A580" s="1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</row>
    <row r="581" spans="1:42" ht="14.5" x14ac:dyDescent="0.35">
      <c r="A581" s="1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</row>
    <row r="582" spans="1:42" ht="14.5" x14ac:dyDescent="0.35">
      <c r="A582" s="1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</row>
    <row r="583" spans="1:42" ht="14.5" x14ac:dyDescent="0.35">
      <c r="A583" s="1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</row>
    <row r="584" spans="1:42" ht="14.5" x14ac:dyDescent="0.35">
      <c r="A584" s="1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</row>
    <row r="585" spans="1:42" ht="14.5" x14ac:dyDescent="0.35">
      <c r="A585" s="1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</row>
    <row r="586" spans="1:42" ht="14.5" x14ac:dyDescent="0.35">
      <c r="A586" s="1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</row>
    <row r="587" spans="1:42" ht="14.5" x14ac:dyDescent="0.35">
      <c r="A587" s="1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</row>
    <row r="588" spans="1:42" ht="14.5" x14ac:dyDescent="0.35">
      <c r="A588" s="1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</row>
    <row r="589" spans="1:42" ht="14.5" x14ac:dyDescent="0.35">
      <c r="A589" s="1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</row>
    <row r="590" spans="1:42" ht="14.5" x14ac:dyDescent="0.35">
      <c r="A590" s="1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</row>
    <row r="591" spans="1:42" ht="14.5" x14ac:dyDescent="0.35">
      <c r="A591" s="1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</row>
    <row r="592" spans="1:42" ht="14.5" x14ac:dyDescent="0.35">
      <c r="A592" s="1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</row>
    <row r="593" spans="1:42" ht="14.5" x14ac:dyDescent="0.35">
      <c r="A593" s="1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</row>
    <row r="594" spans="1:42" ht="14.5" x14ac:dyDescent="0.35">
      <c r="A594" s="1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</row>
    <row r="595" spans="1:42" ht="14.5" x14ac:dyDescent="0.35">
      <c r="A595" s="1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</row>
    <row r="596" spans="1:42" ht="14.5" x14ac:dyDescent="0.35">
      <c r="A596" s="1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</row>
    <row r="597" spans="1:42" ht="14.5" x14ac:dyDescent="0.35">
      <c r="A597" s="1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</row>
    <row r="598" spans="1:42" ht="14.5" x14ac:dyDescent="0.35">
      <c r="A598" s="1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</row>
    <row r="599" spans="1:42" ht="14.5" x14ac:dyDescent="0.35">
      <c r="A599" s="1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</row>
    <row r="600" spans="1:42" ht="14.5" x14ac:dyDescent="0.35">
      <c r="A600" s="1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</row>
    <row r="601" spans="1:42" ht="14.5" x14ac:dyDescent="0.35">
      <c r="A601" s="1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</row>
    <row r="602" spans="1:42" ht="14.5" x14ac:dyDescent="0.35">
      <c r="A602" s="1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</row>
    <row r="603" spans="1:42" ht="14.5" x14ac:dyDescent="0.35">
      <c r="A603" s="1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</row>
    <row r="604" spans="1:42" ht="14.5" x14ac:dyDescent="0.35">
      <c r="A604" s="1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</row>
    <row r="605" spans="1:42" ht="14.5" x14ac:dyDescent="0.35">
      <c r="A605" s="1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</row>
    <row r="606" spans="1:42" ht="14.5" x14ac:dyDescent="0.35">
      <c r="A606" s="1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</row>
    <row r="607" spans="1:42" ht="14.5" x14ac:dyDescent="0.35">
      <c r="A607" s="1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</row>
    <row r="608" spans="1:42" ht="14.5" x14ac:dyDescent="0.35">
      <c r="A608" s="1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</row>
    <row r="609" spans="1:42" ht="14.5" x14ac:dyDescent="0.35">
      <c r="A609" s="1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</row>
    <row r="610" spans="1:42" ht="14.5" x14ac:dyDescent="0.35">
      <c r="A610" s="1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</row>
    <row r="611" spans="1:42" ht="14.5" x14ac:dyDescent="0.35">
      <c r="A611" s="1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</row>
    <row r="612" spans="1:42" ht="14.5" x14ac:dyDescent="0.35">
      <c r="A612" s="1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</row>
    <row r="613" spans="1:42" ht="14.5" x14ac:dyDescent="0.35">
      <c r="A613" s="1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</row>
    <row r="614" spans="1:42" ht="14.5" x14ac:dyDescent="0.35">
      <c r="A614" s="1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</row>
    <row r="615" spans="1:42" ht="14.5" x14ac:dyDescent="0.35">
      <c r="A615" s="1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</row>
    <row r="616" spans="1:42" ht="14.5" x14ac:dyDescent="0.35">
      <c r="A616" s="1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</row>
    <row r="617" spans="1:42" ht="14.5" x14ac:dyDescent="0.35">
      <c r="A617" s="1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</row>
    <row r="618" spans="1:42" ht="14.5" x14ac:dyDescent="0.35">
      <c r="A618" s="1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</row>
    <row r="619" spans="1:42" ht="14.5" x14ac:dyDescent="0.35">
      <c r="A619" s="1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</row>
    <row r="620" spans="1:42" ht="14.5" x14ac:dyDescent="0.35">
      <c r="A620" s="1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</row>
    <row r="621" spans="1:42" ht="14.5" x14ac:dyDescent="0.35">
      <c r="A621" s="1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</row>
    <row r="622" spans="1:42" ht="14.5" x14ac:dyDescent="0.35">
      <c r="A622" s="1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</row>
    <row r="623" spans="1:42" ht="14.5" x14ac:dyDescent="0.35">
      <c r="A623" s="1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</row>
    <row r="624" spans="1:42" ht="14.5" x14ac:dyDescent="0.35">
      <c r="A624" s="1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</row>
    <row r="625" spans="1:42" ht="14.5" x14ac:dyDescent="0.35">
      <c r="A625" s="1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</row>
    <row r="626" spans="1:42" ht="14.5" x14ac:dyDescent="0.35">
      <c r="A626" s="1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</row>
    <row r="627" spans="1:42" ht="14.5" x14ac:dyDescent="0.35">
      <c r="A627" s="1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</row>
    <row r="628" spans="1:42" ht="14.5" x14ac:dyDescent="0.35">
      <c r="A628" s="1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</row>
    <row r="629" spans="1:42" ht="14.5" x14ac:dyDescent="0.35">
      <c r="A629" s="1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</row>
    <row r="630" spans="1:42" ht="14.5" x14ac:dyDescent="0.35">
      <c r="A630" s="1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</row>
    <row r="631" spans="1:42" ht="14.5" x14ac:dyDescent="0.35">
      <c r="A631" s="1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</row>
    <row r="632" spans="1:42" ht="14.5" x14ac:dyDescent="0.35">
      <c r="A632" s="1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</row>
    <row r="633" spans="1:42" ht="14.5" x14ac:dyDescent="0.35">
      <c r="A633" s="1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</row>
    <row r="634" spans="1:42" ht="14.5" x14ac:dyDescent="0.35">
      <c r="A634" s="1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</row>
    <row r="635" spans="1:42" ht="14.5" x14ac:dyDescent="0.35">
      <c r="A635" s="1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</row>
    <row r="636" spans="1:42" ht="14.5" x14ac:dyDescent="0.35">
      <c r="A636" s="1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</row>
    <row r="637" spans="1:42" ht="14.5" x14ac:dyDescent="0.35">
      <c r="A637" s="1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</row>
    <row r="638" spans="1:42" ht="14.5" x14ac:dyDescent="0.35">
      <c r="A638" s="1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</row>
    <row r="639" spans="1:42" ht="14.5" x14ac:dyDescent="0.35">
      <c r="A639" s="1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</row>
    <row r="640" spans="1:42" ht="14.5" x14ac:dyDescent="0.35">
      <c r="A640" s="1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</row>
    <row r="641" spans="1:42" ht="14.5" x14ac:dyDescent="0.35">
      <c r="A641" s="1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</row>
    <row r="642" spans="1:42" ht="14.5" x14ac:dyDescent="0.35">
      <c r="A642" s="1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</row>
    <row r="643" spans="1:42" ht="14.5" x14ac:dyDescent="0.35">
      <c r="A643" s="1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</row>
    <row r="644" spans="1:42" ht="14.5" x14ac:dyDescent="0.35">
      <c r="A644" s="1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</row>
    <row r="645" spans="1:42" ht="14.5" x14ac:dyDescent="0.35">
      <c r="A645" s="1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</row>
    <row r="646" spans="1:42" ht="14.5" x14ac:dyDescent="0.35">
      <c r="A646" s="1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</row>
    <row r="647" spans="1:42" ht="14.5" x14ac:dyDescent="0.35">
      <c r="A647" s="1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</row>
    <row r="648" spans="1:42" ht="14.5" x14ac:dyDescent="0.35">
      <c r="A648" s="1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</row>
    <row r="649" spans="1:42" ht="14.5" x14ac:dyDescent="0.35">
      <c r="A649" s="1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</row>
    <row r="650" spans="1:42" ht="14.5" x14ac:dyDescent="0.35">
      <c r="A650" s="1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</row>
    <row r="651" spans="1:42" ht="14.5" x14ac:dyDescent="0.35">
      <c r="A651" s="1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</row>
    <row r="652" spans="1:42" ht="14.5" x14ac:dyDescent="0.35">
      <c r="A652" s="1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</row>
    <row r="653" spans="1:42" ht="14.5" x14ac:dyDescent="0.35">
      <c r="A653" s="1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</row>
    <row r="654" spans="1:42" ht="14.5" x14ac:dyDescent="0.35">
      <c r="A654" s="1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</row>
    <row r="655" spans="1:42" ht="14.5" x14ac:dyDescent="0.35">
      <c r="A655" s="1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</row>
    <row r="656" spans="1:42" ht="14.5" x14ac:dyDescent="0.35">
      <c r="A656" s="1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</row>
    <row r="657" spans="1:42" ht="14.5" x14ac:dyDescent="0.35">
      <c r="A657" s="1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</row>
    <row r="658" spans="1:42" ht="14.5" x14ac:dyDescent="0.35">
      <c r="A658" s="1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</row>
    <row r="659" spans="1:42" ht="14.5" x14ac:dyDescent="0.35">
      <c r="A659" s="1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</row>
    <row r="660" spans="1:42" ht="14.5" x14ac:dyDescent="0.35">
      <c r="A660" s="1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</row>
    <row r="661" spans="1:42" ht="14.5" x14ac:dyDescent="0.35">
      <c r="A661" s="1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</row>
    <row r="662" spans="1:42" ht="14.5" x14ac:dyDescent="0.35">
      <c r="A662" s="1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</row>
    <row r="663" spans="1:42" ht="14.5" x14ac:dyDescent="0.35">
      <c r="A663" s="1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</row>
    <row r="664" spans="1:42" ht="14.5" x14ac:dyDescent="0.35">
      <c r="A664" s="1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</row>
    <row r="665" spans="1:42" ht="14.5" x14ac:dyDescent="0.35">
      <c r="A665" s="1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</row>
    <row r="666" spans="1:42" ht="14.5" x14ac:dyDescent="0.35">
      <c r="A666" s="1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</row>
    <row r="667" spans="1:42" ht="14.5" x14ac:dyDescent="0.35">
      <c r="A667" s="1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</row>
    <row r="668" spans="1:42" ht="14.5" x14ac:dyDescent="0.35">
      <c r="A668" s="1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</row>
    <row r="669" spans="1:42" ht="14.5" x14ac:dyDescent="0.35">
      <c r="A669" s="1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</row>
    <row r="670" spans="1:42" ht="14.5" x14ac:dyDescent="0.35">
      <c r="A670" s="1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</row>
    <row r="671" spans="1:42" ht="14.5" x14ac:dyDescent="0.35">
      <c r="A671" s="1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</row>
    <row r="672" spans="1:42" ht="14.5" x14ac:dyDescent="0.35">
      <c r="A672" s="1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</row>
    <row r="673" spans="1:42" ht="14.5" x14ac:dyDescent="0.35">
      <c r="A673" s="1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</row>
    <row r="674" spans="1:42" ht="14.5" x14ac:dyDescent="0.35">
      <c r="A674" s="1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</row>
    <row r="675" spans="1:42" ht="14.5" x14ac:dyDescent="0.35">
      <c r="A675" s="1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</row>
    <row r="676" spans="1:42" ht="14.5" x14ac:dyDescent="0.35">
      <c r="A676" s="1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</row>
    <row r="677" spans="1:42" ht="14.5" x14ac:dyDescent="0.35">
      <c r="A677" s="1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</row>
    <row r="678" spans="1:42" ht="14.5" x14ac:dyDescent="0.35">
      <c r="A678" s="1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</row>
    <row r="679" spans="1:42" ht="14.5" x14ac:dyDescent="0.35">
      <c r="A679" s="1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</row>
    <row r="680" spans="1:42" ht="14.5" x14ac:dyDescent="0.35">
      <c r="A680" s="1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</row>
    <row r="681" spans="1:42" ht="14.5" x14ac:dyDescent="0.35">
      <c r="A681" s="1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</row>
    <row r="682" spans="1:42" ht="14.5" x14ac:dyDescent="0.35">
      <c r="A682" s="1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</row>
    <row r="683" spans="1:42" ht="14.5" x14ac:dyDescent="0.35">
      <c r="A683" s="1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</row>
    <row r="684" spans="1:42" ht="14.5" x14ac:dyDescent="0.35">
      <c r="A684" s="1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</row>
    <row r="685" spans="1:42" ht="14.5" x14ac:dyDescent="0.35">
      <c r="A685" s="1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</row>
    <row r="686" spans="1:42" ht="14.5" x14ac:dyDescent="0.35">
      <c r="A686" s="1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</row>
    <row r="687" spans="1:42" ht="14.5" x14ac:dyDescent="0.35">
      <c r="A687" s="1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</row>
    <row r="688" spans="1:42" ht="14.5" x14ac:dyDescent="0.35">
      <c r="A688" s="1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</row>
    <row r="689" spans="1:42" ht="14.5" x14ac:dyDescent="0.35">
      <c r="A689" s="1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</row>
    <row r="690" spans="1:42" ht="14.5" x14ac:dyDescent="0.35">
      <c r="A690" s="1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</row>
    <row r="691" spans="1:42" ht="14.5" x14ac:dyDescent="0.35">
      <c r="A691" s="1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</row>
    <row r="692" spans="1:42" ht="14.5" x14ac:dyDescent="0.35">
      <c r="A692" s="1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</row>
    <row r="693" spans="1:42" ht="14.5" x14ac:dyDescent="0.35">
      <c r="A693" s="1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</row>
    <row r="694" spans="1:42" ht="14.5" x14ac:dyDescent="0.35">
      <c r="A694" s="1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</row>
    <row r="695" spans="1:42" ht="14.5" x14ac:dyDescent="0.35">
      <c r="A695" s="1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</row>
    <row r="696" spans="1:42" ht="14.5" x14ac:dyDescent="0.35">
      <c r="A696" s="1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</row>
    <row r="697" spans="1:42" ht="14.5" x14ac:dyDescent="0.35">
      <c r="A697" s="1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</row>
    <row r="698" spans="1:42" ht="14.5" x14ac:dyDescent="0.35">
      <c r="A698" s="1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</row>
    <row r="699" spans="1:42" ht="14.5" x14ac:dyDescent="0.35">
      <c r="A699" s="1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</row>
    <row r="700" spans="1:42" ht="14.5" x14ac:dyDescent="0.35">
      <c r="A700" s="1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</row>
    <row r="701" spans="1:42" ht="14.5" x14ac:dyDescent="0.35">
      <c r="A701" s="1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</row>
    <row r="702" spans="1:42" ht="14.5" x14ac:dyDescent="0.35">
      <c r="A702" s="1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</row>
    <row r="703" spans="1:42" ht="14.5" x14ac:dyDescent="0.35">
      <c r="A703" s="1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</row>
    <row r="704" spans="1:42" ht="14.5" x14ac:dyDescent="0.35">
      <c r="A704" s="1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</row>
    <row r="705" spans="1:42" ht="14.5" x14ac:dyDescent="0.35">
      <c r="A705" s="1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</row>
    <row r="706" spans="1:42" ht="14.5" x14ac:dyDescent="0.35">
      <c r="A706" s="1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</row>
    <row r="707" spans="1:42" ht="14.5" x14ac:dyDescent="0.35">
      <c r="A707" s="1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</row>
    <row r="708" spans="1:42" ht="14.5" x14ac:dyDescent="0.35">
      <c r="A708" s="1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</row>
    <row r="709" spans="1:42" ht="14.5" x14ac:dyDescent="0.35">
      <c r="A709" s="1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</row>
    <row r="710" spans="1:42" ht="14.5" x14ac:dyDescent="0.35">
      <c r="A710" s="1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</row>
    <row r="711" spans="1:42" ht="14.5" x14ac:dyDescent="0.35">
      <c r="A711" s="1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</row>
    <row r="712" spans="1:42" ht="14.5" x14ac:dyDescent="0.35">
      <c r="A712" s="1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</row>
    <row r="713" spans="1:42" ht="14.5" x14ac:dyDescent="0.35">
      <c r="A713" s="1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</row>
    <row r="714" spans="1:42" ht="14.5" x14ac:dyDescent="0.35">
      <c r="A714" s="1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</row>
    <row r="715" spans="1:42" ht="14.5" x14ac:dyDescent="0.35">
      <c r="A715" s="1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</row>
    <row r="716" spans="1:42" ht="14.5" x14ac:dyDescent="0.35">
      <c r="A716" s="1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</row>
    <row r="717" spans="1:42" ht="14.5" x14ac:dyDescent="0.35">
      <c r="A717" s="1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</row>
    <row r="718" spans="1:42" ht="14.5" x14ac:dyDescent="0.35">
      <c r="A718" s="1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</row>
    <row r="719" spans="1:42" ht="14.5" x14ac:dyDescent="0.35">
      <c r="A719" s="1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</row>
    <row r="720" spans="1:42" ht="14.5" x14ac:dyDescent="0.35">
      <c r="A720" s="1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</row>
    <row r="721" spans="1:42" ht="14.5" x14ac:dyDescent="0.35">
      <c r="A721" s="1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</row>
    <row r="722" spans="1:42" ht="14.5" x14ac:dyDescent="0.35">
      <c r="A722" s="1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</row>
    <row r="723" spans="1:42" ht="14.5" x14ac:dyDescent="0.35">
      <c r="A723" s="1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</row>
    <row r="724" spans="1:42" ht="14.5" x14ac:dyDescent="0.35">
      <c r="A724" s="1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</row>
    <row r="725" spans="1:42" ht="14.5" x14ac:dyDescent="0.35">
      <c r="A725" s="1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</row>
    <row r="726" spans="1:42" ht="14.5" x14ac:dyDescent="0.35">
      <c r="A726" s="1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</row>
    <row r="727" spans="1:42" ht="14.5" x14ac:dyDescent="0.35">
      <c r="A727" s="1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</row>
    <row r="728" spans="1:42" ht="14.5" x14ac:dyDescent="0.35">
      <c r="A728" s="1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</row>
    <row r="729" spans="1:42" ht="14.5" x14ac:dyDescent="0.35">
      <c r="A729" s="1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</row>
    <row r="730" spans="1:42" ht="14.5" x14ac:dyDescent="0.35">
      <c r="A730" s="1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</row>
    <row r="731" spans="1:42" ht="14.5" x14ac:dyDescent="0.35">
      <c r="A731" s="1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</row>
    <row r="732" spans="1:42" ht="14.5" x14ac:dyDescent="0.35">
      <c r="A732" s="1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</row>
    <row r="733" spans="1:42" ht="14.5" x14ac:dyDescent="0.35">
      <c r="A733" s="1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</row>
    <row r="734" spans="1:42" ht="14.5" x14ac:dyDescent="0.35">
      <c r="A734" s="1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</row>
    <row r="735" spans="1:42" ht="14.5" x14ac:dyDescent="0.35">
      <c r="A735" s="1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</row>
    <row r="736" spans="1:42" ht="14.5" x14ac:dyDescent="0.35">
      <c r="A736" s="1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</row>
    <row r="737" spans="1:42" ht="14.5" x14ac:dyDescent="0.35">
      <c r="A737" s="1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</row>
    <row r="738" spans="1:42" ht="14.5" x14ac:dyDescent="0.35">
      <c r="A738" s="1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</row>
    <row r="739" spans="1:42" ht="14.5" x14ac:dyDescent="0.35">
      <c r="A739" s="1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</row>
    <row r="740" spans="1:42" ht="14.5" x14ac:dyDescent="0.35">
      <c r="A740" s="1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</row>
    <row r="741" spans="1:42" ht="14.5" x14ac:dyDescent="0.35">
      <c r="A741" s="1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</row>
    <row r="742" spans="1:42" ht="14.5" x14ac:dyDescent="0.35">
      <c r="A742" s="1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</row>
    <row r="743" spans="1:42" ht="14.5" x14ac:dyDescent="0.35">
      <c r="A743" s="1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</row>
    <row r="744" spans="1:42" ht="14.5" x14ac:dyDescent="0.35">
      <c r="A744" s="1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</row>
    <row r="745" spans="1:42" ht="14.5" x14ac:dyDescent="0.35">
      <c r="A745" s="1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</row>
    <row r="746" spans="1:42" ht="14.5" x14ac:dyDescent="0.35">
      <c r="A746" s="1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</row>
    <row r="747" spans="1:42" ht="14.5" x14ac:dyDescent="0.35">
      <c r="A747" s="1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</row>
    <row r="748" spans="1:42" ht="14.5" x14ac:dyDescent="0.35">
      <c r="A748" s="1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</row>
    <row r="749" spans="1:42" ht="14.5" x14ac:dyDescent="0.35">
      <c r="A749" s="1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</row>
    <row r="750" spans="1:42" ht="14.5" x14ac:dyDescent="0.35">
      <c r="A750" s="1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</row>
    <row r="751" spans="1:42" ht="14.5" x14ac:dyDescent="0.35">
      <c r="A751" s="1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</row>
    <row r="752" spans="1:42" ht="14.5" x14ac:dyDescent="0.35">
      <c r="A752" s="1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</row>
    <row r="753" spans="1:42" ht="14.5" x14ac:dyDescent="0.35">
      <c r="A753" s="1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</row>
    <row r="754" spans="1:42" ht="14.5" x14ac:dyDescent="0.35">
      <c r="A754" s="1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</row>
    <row r="755" spans="1:42" ht="14.5" x14ac:dyDescent="0.35">
      <c r="A755" s="1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</row>
    <row r="756" spans="1:42" ht="14.5" x14ac:dyDescent="0.35">
      <c r="A756" s="1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</row>
    <row r="757" spans="1:42" ht="14.5" x14ac:dyDescent="0.35">
      <c r="A757" s="1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</row>
    <row r="758" spans="1:42" ht="14.5" x14ac:dyDescent="0.35">
      <c r="A758" s="1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</row>
    <row r="759" spans="1:42" ht="14.5" x14ac:dyDescent="0.35">
      <c r="A759" s="1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</row>
    <row r="760" spans="1:42" ht="14.5" x14ac:dyDescent="0.35">
      <c r="A760" s="1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</row>
    <row r="761" spans="1:42" ht="14.5" x14ac:dyDescent="0.35">
      <c r="A761" s="1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</row>
    <row r="762" spans="1:42" ht="14.5" x14ac:dyDescent="0.35">
      <c r="A762" s="1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</row>
    <row r="763" spans="1:42" ht="14.5" x14ac:dyDescent="0.35">
      <c r="A763" s="1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</row>
    <row r="764" spans="1:42" ht="14.5" x14ac:dyDescent="0.35">
      <c r="A764" s="1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</row>
    <row r="765" spans="1:42" ht="14.5" x14ac:dyDescent="0.35">
      <c r="A765" s="1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</row>
    <row r="766" spans="1:42" ht="14.5" x14ac:dyDescent="0.35">
      <c r="A766" s="1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</row>
    <row r="767" spans="1:42" ht="14.5" x14ac:dyDescent="0.35">
      <c r="A767" s="1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</row>
    <row r="768" spans="1:42" ht="14.5" x14ac:dyDescent="0.35">
      <c r="A768" s="1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</row>
    <row r="769" spans="1:42" ht="14.5" x14ac:dyDescent="0.35">
      <c r="A769" s="1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</row>
    <row r="770" spans="1:42" ht="14.5" x14ac:dyDescent="0.35">
      <c r="A770" s="1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</row>
    <row r="771" spans="1:42" ht="14.5" x14ac:dyDescent="0.35">
      <c r="A771" s="1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</row>
    <row r="772" spans="1:42" ht="14.5" x14ac:dyDescent="0.35">
      <c r="A772" s="1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</row>
    <row r="773" spans="1:42" ht="14.5" x14ac:dyDescent="0.35">
      <c r="A773" s="1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</row>
    <row r="774" spans="1:42" ht="14.5" x14ac:dyDescent="0.35">
      <c r="A774" s="1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</row>
    <row r="775" spans="1:42" ht="14.5" x14ac:dyDescent="0.35">
      <c r="A775" s="1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</row>
    <row r="776" spans="1:42" ht="14.5" x14ac:dyDescent="0.35">
      <c r="A776" s="1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</row>
    <row r="777" spans="1:42" ht="14.5" x14ac:dyDescent="0.35">
      <c r="A777" s="1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</row>
    <row r="778" spans="1:42" ht="14.5" x14ac:dyDescent="0.35">
      <c r="A778" s="1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</row>
    <row r="779" spans="1:42" ht="14.5" x14ac:dyDescent="0.35">
      <c r="A779" s="1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</row>
    <row r="780" spans="1:42" ht="14.5" x14ac:dyDescent="0.35">
      <c r="A780" s="1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</row>
    <row r="781" spans="1:42" ht="14.5" x14ac:dyDescent="0.35">
      <c r="A781" s="1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</row>
    <row r="782" spans="1:42" ht="14.5" x14ac:dyDescent="0.35">
      <c r="A782" s="1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</row>
    <row r="783" spans="1:42" ht="14.5" x14ac:dyDescent="0.35">
      <c r="A783" s="1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</row>
    <row r="784" spans="1:42" ht="14.5" x14ac:dyDescent="0.35">
      <c r="A784" s="1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</row>
    <row r="785" spans="1:42" ht="14.5" x14ac:dyDescent="0.35">
      <c r="A785" s="1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</row>
    <row r="786" spans="1:42" ht="14.5" x14ac:dyDescent="0.35">
      <c r="A786" s="1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</row>
    <row r="787" spans="1:42" ht="14.5" x14ac:dyDescent="0.35">
      <c r="A787" s="1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</row>
    <row r="788" spans="1:42" ht="14.5" x14ac:dyDescent="0.35">
      <c r="A788" s="1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</row>
    <row r="789" spans="1:42" ht="14.5" x14ac:dyDescent="0.35">
      <c r="A789" s="1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</row>
    <row r="790" spans="1:42" ht="14.5" x14ac:dyDescent="0.35">
      <c r="A790" s="1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</row>
    <row r="791" spans="1:42" ht="14.5" x14ac:dyDescent="0.35">
      <c r="A791" s="1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</row>
    <row r="792" spans="1:42" ht="14.5" x14ac:dyDescent="0.35">
      <c r="A792" s="1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</row>
    <row r="793" spans="1:42" ht="14.5" x14ac:dyDescent="0.35">
      <c r="A793" s="1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</row>
    <row r="794" spans="1:42" ht="14.5" x14ac:dyDescent="0.35">
      <c r="A794" s="1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</row>
    <row r="795" spans="1:42" ht="14.5" x14ac:dyDescent="0.35">
      <c r="A795" s="1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</row>
    <row r="796" spans="1:42" ht="14.5" x14ac:dyDescent="0.35">
      <c r="A796" s="1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</row>
    <row r="797" spans="1:42" ht="14.5" x14ac:dyDescent="0.35">
      <c r="A797" s="1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</row>
    <row r="798" spans="1:42" ht="14.5" x14ac:dyDescent="0.35">
      <c r="A798" s="1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</row>
    <row r="799" spans="1:42" ht="14.5" x14ac:dyDescent="0.35">
      <c r="A799" s="1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</row>
    <row r="800" spans="1:42" ht="14.5" x14ac:dyDescent="0.35">
      <c r="A800" s="1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</row>
    <row r="801" spans="1:42" ht="14.5" x14ac:dyDescent="0.35">
      <c r="A801" s="1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</row>
    <row r="802" spans="1:42" ht="14.5" x14ac:dyDescent="0.35">
      <c r="A802" s="1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</row>
    <row r="803" spans="1:42" ht="14.5" x14ac:dyDescent="0.35">
      <c r="A803" s="1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</row>
    <row r="804" spans="1:42" ht="14.5" x14ac:dyDescent="0.35">
      <c r="A804" s="1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</row>
    <row r="805" spans="1:42" ht="14.5" x14ac:dyDescent="0.35">
      <c r="A805" s="1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</row>
    <row r="806" spans="1:42" ht="14.5" x14ac:dyDescent="0.35">
      <c r="A806" s="1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</row>
    <row r="807" spans="1:42" ht="14.5" x14ac:dyDescent="0.35">
      <c r="A807" s="1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</row>
    <row r="808" spans="1:42" ht="14.5" x14ac:dyDescent="0.35">
      <c r="A808" s="1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</row>
    <row r="809" spans="1:42" ht="14.5" x14ac:dyDescent="0.35">
      <c r="A809" s="1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</row>
    <row r="810" spans="1:42" ht="14.5" x14ac:dyDescent="0.35">
      <c r="A810" s="1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</row>
    <row r="811" spans="1:42" ht="14.5" x14ac:dyDescent="0.35">
      <c r="A811" s="1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</row>
    <row r="812" spans="1:42" ht="14.5" x14ac:dyDescent="0.35">
      <c r="A812" s="1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</row>
    <row r="813" spans="1:42" ht="14.5" x14ac:dyDescent="0.35">
      <c r="A813" s="1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</row>
    <row r="814" spans="1:42" ht="14.5" x14ac:dyDescent="0.35">
      <c r="A814" s="1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</row>
    <row r="815" spans="1:42" ht="14.5" x14ac:dyDescent="0.35">
      <c r="A815" s="1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</row>
    <row r="816" spans="1:42" ht="14.5" x14ac:dyDescent="0.35">
      <c r="A816" s="1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</row>
    <row r="817" spans="1:42" ht="14.5" x14ac:dyDescent="0.35">
      <c r="A817" s="1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</row>
    <row r="818" spans="1:42" ht="14.5" x14ac:dyDescent="0.35">
      <c r="A818" s="1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</row>
    <row r="819" spans="1:42" ht="14.5" x14ac:dyDescent="0.35">
      <c r="A819" s="1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</row>
    <row r="820" spans="1:42" ht="14.5" x14ac:dyDescent="0.35">
      <c r="A820" s="1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</row>
    <row r="821" spans="1:42" ht="14.5" x14ac:dyDescent="0.35">
      <c r="A821" s="1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</row>
    <row r="822" spans="1:42" ht="14.5" x14ac:dyDescent="0.35">
      <c r="A822" s="1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</row>
    <row r="823" spans="1:42" ht="14.5" x14ac:dyDescent="0.35">
      <c r="A823" s="1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</row>
    <row r="824" spans="1:42" ht="14.5" x14ac:dyDescent="0.35">
      <c r="A824" s="1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</row>
    <row r="825" spans="1:42" ht="14.5" x14ac:dyDescent="0.35">
      <c r="A825" s="1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</row>
    <row r="826" spans="1:42" ht="14.5" x14ac:dyDescent="0.35">
      <c r="A826" s="1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</row>
    <row r="827" spans="1:42" ht="14.5" x14ac:dyDescent="0.35">
      <c r="A827" s="1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</row>
    <row r="828" spans="1:42" ht="14.5" x14ac:dyDescent="0.35">
      <c r="A828" s="1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</row>
    <row r="829" spans="1:42" ht="14.5" x14ac:dyDescent="0.35">
      <c r="A829" s="1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</row>
    <row r="830" spans="1:42" ht="14.5" x14ac:dyDescent="0.35">
      <c r="A830" s="1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</row>
    <row r="831" spans="1:42" ht="14.5" x14ac:dyDescent="0.35">
      <c r="A831" s="1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</row>
    <row r="832" spans="1:42" ht="14.5" x14ac:dyDescent="0.35">
      <c r="A832" s="1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</row>
    <row r="833" spans="1:42" ht="14.5" x14ac:dyDescent="0.35">
      <c r="A833" s="1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</row>
    <row r="834" spans="1:42" ht="14.5" x14ac:dyDescent="0.35">
      <c r="A834" s="1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</row>
    <row r="835" spans="1:42" ht="14.5" x14ac:dyDescent="0.35">
      <c r="A835" s="1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</row>
    <row r="836" spans="1:42" ht="14.5" x14ac:dyDescent="0.35">
      <c r="A836" s="1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</row>
    <row r="837" spans="1:42" ht="14.5" x14ac:dyDescent="0.35">
      <c r="A837" s="1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</row>
    <row r="838" spans="1:42" ht="14.5" x14ac:dyDescent="0.35">
      <c r="A838" s="1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</row>
    <row r="839" spans="1:42" ht="14.5" x14ac:dyDescent="0.35">
      <c r="A839" s="1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</row>
    <row r="840" spans="1:42" ht="14.5" x14ac:dyDescent="0.35">
      <c r="A840" s="1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</row>
    <row r="841" spans="1:42" ht="14.5" x14ac:dyDescent="0.35">
      <c r="A841" s="1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</row>
    <row r="842" spans="1:42" ht="14.5" x14ac:dyDescent="0.35">
      <c r="A842" s="1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</row>
    <row r="843" spans="1:42" ht="14.5" x14ac:dyDescent="0.35">
      <c r="A843" s="1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</row>
    <row r="844" spans="1:42" ht="14.5" x14ac:dyDescent="0.35">
      <c r="A844" s="1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</row>
    <row r="845" spans="1:42" ht="14.5" x14ac:dyDescent="0.35">
      <c r="A845" s="1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</row>
    <row r="846" spans="1:42" ht="14.5" x14ac:dyDescent="0.35">
      <c r="A846" s="1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</row>
    <row r="847" spans="1:42" ht="14.5" x14ac:dyDescent="0.35">
      <c r="A847" s="1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</row>
    <row r="848" spans="1:42" ht="14.5" x14ac:dyDescent="0.35">
      <c r="A848" s="1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</row>
    <row r="849" spans="1:42" ht="14.5" x14ac:dyDescent="0.35">
      <c r="A849" s="1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</row>
    <row r="850" spans="1:42" ht="14.5" x14ac:dyDescent="0.35">
      <c r="A850" s="1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</row>
    <row r="851" spans="1:42" ht="14.5" x14ac:dyDescent="0.35">
      <c r="A851" s="1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</row>
    <row r="852" spans="1:42" ht="14.5" x14ac:dyDescent="0.35">
      <c r="A852" s="1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</row>
    <row r="853" spans="1:42" ht="14.5" x14ac:dyDescent="0.35">
      <c r="A853" s="1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</row>
    <row r="854" spans="1:42" ht="14.5" x14ac:dyDescent="0.35">
      <c r="A854" s="1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</row>
    <row r="855" spans="1:42" ht="14.5" x14ac:dyDescent="0.35">
      <c r="A855" s="1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</row>
    <row r="856" spans="1:42" ht="14.5" x14ac:dyDescent="0.35">
      <c r="A856" s="1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</row>
    <row r="857" spans="1:42" ht="14.5" x14ac:dyDescent="0.35">
      <c r="A857" s="1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</row>
    <row r="858" spans="1:42" ht="14.5" x14ac:dyDescent="0.35">
      <c r="A858" s="1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</row>
    <row r="859" spans="1:42" ht="14.5" x14ac:dyDescent="0.35">
      <c r="A859" s="1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</row>
    <row r="860" spans="1:42" ht="14.5" x14ac:dyDescent="0.35">
      <c r="A860" s="1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</row>
    <row r="861" spans="1:42" ht="14.5" x14ac:dyDescent="0.35">
      <c r="A861" s="1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</row>
    <row r="862" spans="1:42" ht="14.5" x14ac:dyDescent="0.35">
      <c r="A862" s="1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</row>
    <row r="863" spans="1:42" ht="14.5" x14ac:dyDescent="0.35">
      <c r="A863" s="1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</row>
    <row r="864" spans="1:42" ht="14.5" x14ac:dyDescent="0.35">
      <c r="A864" s="1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</row>
    <row r="865" spans="1:42" ht="14.5" x14ac:dyDescent="0.35">
      <c r="A865" s="1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</row>
    <row r="866" spans="1:42" ht="14.5" x14ac:dyDescent="0.35">
      <c r="A866" s="1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</row>
    <row r="867" spans="1:42" ht="14.5" x14ac:dyDescent="0.35">
      <c r="A867" s="1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</row>
    <row r="868" spans="1:42" ht="14.5" x14ac:dyDescent="0.35">
      <c r="A868" s="1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</row>
    <row r="869" spans="1:42" ht="14.5" x14ac:dyDescent="0.35">
      <c r="A869" s="1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</row>
    <row r="870" spans="1:42" ht="14.5" x14ac:dyDescent="0.35">
      <c r="A870" s="1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</row>
    <row r="871" spans="1:42" ht="14.5" x14ac:dyDescent="0.35">
      <c r="A871" s="1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</row>
    <row r="872" spans="1:42" ht="14.5" x14ac:dyDescent="0.35">
      <c r="A872" s="1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</row>
    <row r="873" spans="1:42" ht="14.5" x14ac:dyDescent="0.35">
      <c r="A873" s="1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</row>
    <row r="874" spans="1:42" ht="14.5" x14ac:dyDescent="0.35">
      <c r="A874" s="1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</row>
    <row r="875" spans="1:42" ht="14.5" x14ac:dyDescent="0.35">
      <c r="A875" s="1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</row>
    <row r="876" spans="1:42" ht="14.5" x14ac:dyDescent="0.35">
      <c r="A876" s="1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</row>
    <row r="877" spans="1:42" ht="14.5" x14ac:dyDescent="0.35">
      <c r="A877" s="1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</row>
    <row r="878" spans="1:42" ht="14.5" x14ac:dyDescent="0.35">
      <c r="A878" s="1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</row>
    <row r="879" spans="1:42" ht="14.5" x14ac:dyDescent="0.35">
      <c r="A879" s="1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</row>
    <row r="880" spans="1:42" ht="14.5" x14ac:dyDescent="0.35">
      <c r="A880" s="1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</row>
    <row r="881" spans="1:42" ht="14.5" x14ac:dyDescent="0.35">
      <c r="A881" s="1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</row>
    <row r="882" spans="1:42" ht="14.5" x14ac:dyDescent="0.35">
      <c r="A882" s="1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</row>
    <row r="883" spans="1:42" ht="14.5" x14ac:dyDescent="0.35">
      <c r="A883" s="1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</row>
    <row r="884" spans="1:42" ht="14.5" x14ac:dyDescent="0.35">
      <c r="A884" s="1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</row>
    <row r="885" spans="1:42" ht="14.5" x14ac:dyDescent="0.35">
      <c r="A885" s="1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</row>
    <row r="886" spans="1:42" ht="14.5" x14ac:dyDescent="0.35">
      <c r="A886" s="1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</row>
    <row r="887" spans="1:42" ht="14.5" x14ac:dyDescent="0.35">
      <c r="A887" s="1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</row>
    <row r="888" spans="1:42" ht="14.5" x14ac:dyDescent="0.35">
      <c r="A888" s="1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</row>
    <row r="889" spans="1:42" ht="14.5" x14ac:dyDescent="0.35">
      <c r="A889" s="1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</row>
    <row r="890" spans="1:42" ht="14.5" x14ac:dyDescent="0.35">
      <c r="A890" s="1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</row>
    <row r="891" spans="1:42" ht="14.5" x14ac:dyDescent="0.35">
      <c r="A891" s="1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</row>
    <row r="892" spans="1:42" ht="14.5" x14ac:dyDescent="0.35">
      <c r="A892" s="1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</row>
    <row r="893" spans="1:42" ht="14.5" x14ac:dyDescent="0.35">
      <c r="A893" s="1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</row>
    <row r="894" spans="1:42" ht="14.5" x14ac:dyDescent="0.35">
      <c r="A894" s="1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</row>
    <row r="895" spans="1:42" ht="14.5" x14ac:dyDescent="0.35">
      <c r="A895" s="1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</row>
    <row r="896" spans="1:42" ht="14.5" x14ac:dyDescent="0.35">
      <c r="A896" s="1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</row>
    <row r="897" spans="1:42" ht="14.5" x14ac:dyDescent="0.35">
      <c r="A897" s="1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</row>
    <row r="898" spans="1:42" ht="14.5" x14ac:dyDescent="0.35">
      <c r="A898" s="1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</row>
    <row r="899" spans="1:42" ht="14.5" x14ac:dyDescent="0.35">
      <c r="A899" s="1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</row>
    <row r="900" spans="1:42" ht="14.5" x14ac:dyDescent="0.35">
      <c r="A900" s="1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</row>
    <row r="901" spans="1:42" ht="14.5" x14ac:dyDescent="0.35">
      <c r="A901" s="1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</row>
    <row r="902" spans="1:42" ht="14.5" x14ac:dyDescent="0.35">
      <c r="A902" s="1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</row>
    <row r="903" spans="1:42" ht="14.5" x14ac:dyDescent="0.35">
      <c r="A903" s="1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</row>
    <row r="904" spans="1:42" ht="14.5" x14ac:dyDescent="0.35">
      <c r="A904" s="1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</row>
    <row r="905" spans="1:42" ht="14.5" x14ac:dyDescent="0.35">
      <c r="A905" s="1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</row>
    <row r="906" spans="1:42" ht="14.5" x14ac:dyDescent="0.35">
      <c r="A906" s="1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</row>
    <row r="907" spans="1:42" ht="14.5" x14ac:dyDescent="0.35">
      <c r="A907" s="1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</row>
    <row r="908" spans="1:42" ht="14.5" x14ac:dyDescent="0.35">
      <c r="A908" s="1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</row>
    <row r="909" spans="1:42" ht="14.5" x14ac:dyDescent="0.35">
      <c r="A909" s="1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</row>
    <row r="910" spans="1:42" ht="14.5" x14ac:dyDescent="0.35">
      <c r="A910" s="1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</row>
    <row r="911" spans="1:42" ht="14.5" x14ac:dyDescent="0.35">
      <c r="A911" s="1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</row>
    <row r="912" spans="1:42" ht="14.5" x14ac:dyDescent="0.35">
      <c r="A912" s="1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</row>
    <row r="913" spans="1:42" ht="14.5" x14ac:dyDescent="0.35">
      <c r="A913" s="1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</row>
    <row r="914" spans="1:42" ht="14.5" x14ac:dyDescent="0.35">
      <c r="A914" s="1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</row>
    <row r="915" spans="1:42" ht="14.5" x14ac:dyDescent="0.35">
      <c r="A915" s="1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</row>
    <row r="916" spans="1:42" ht="14.5" x14ac:dyDescent="0.35">
      <c r="A916" s="1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</row>
    <row r="917" spans="1:42" ht="14.5" x14ac:dyDescent="0.35">
      <c r="A917" s="1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</row>
    <row r="918" spans="1:42" ht="14.5" x14ac:dyDescent="0.35">
      <c r="A918" s="1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</row>
    <row r="919" spans="1:42" ht="14.5" x14ac:dyDescent="0.35">
      <c r="A919" s="1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</row>
    <row r="920" spans="1:42" ht="14.5" x14ac:dyDescent="0.35">
      <c r="A920" s="1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</row>
    <row r="921" spans="1:42" ht="14.5" x14ac:dyDescent="0.35">
      <c r="A921" s="1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</row>
    <row r="922" spans="1:42" ht="14.5" x14ac:dyDescent="0.35">
      <c r="A922" s="1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</row>
    <row r="923" spans="1:42" ht="14.5" x14ac:dyDescent="0.35">
      <c r="A923" s="1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</row>
    <row r="924" spans="1:42" ht="14.5" x14ac:dyDescent="0.35">
      <c r="A924" s="1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</row>
    <row r="925" spans="1:42" ht="14.5" x14ac:dyDescent="0.35">
      <c r="A925" s="1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</row>
    <row r="926" spans="1:42" ht="14.5" x14ac:dyDescent="0.35">
      <c r="A926" s="1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</row>
    <row r="927" spans="1:42" ht="14.5" x14ac:dyDescent="0.35">
      <c r="A927" s="1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</row>
    <row r="928" spans="1:42" ht="14.5" x14ac:dyDescent="0.35">
      <c r="A928" s="1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</row>
    <row r="929" spans="1:42" ht="14.5" x14ac:dyDescent="0.35">
      <c r="A929" s="1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</row>
    <row r="930" spans="1:42" ht="14.5" x14ac:dyDescent="0.35">
      <c r="A930" s="1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</row>
    <row r="931" spans="1:42" ht="14.5" x14ac:dyDescent="0.35">
      <c r="A931" s="1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</row>
    <row r="932" spans="1:42" ht="14.5" x14ac:dyDescent="0.35">
      <c r="A932" s="1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</row>
    <row r="933" spans="1:42" ht="14.5" x14ac:dyDescent="0.35">
      <c r="A933" s="1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</row>
    <row r="934" spans="1:42" ht="14.5" x14ac:dyDescent="0.35">
      <c r="A934" s="1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</row>
    <row r="935" spans="1:42" ht="14.5" x14ac:dyDescent="0.35">
      <c r="A935" s="1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</row>
    <row r="936" spans="1:42" ht="14.5" x14ac:dyDescent="0.35">
      <c r="A936" s="1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</row>
    <row r="937" spans="1:42" ht="14.5" x14ac:dyDescent="0.35">
      <c r="A937" s="1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</row>
    <row r="938" spans="1:42" ht="14.5" x14ac:dyDescent="0.35">
      <c r="A938" s="1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</row>
    <row r="939" spans="1:42" ht="14.5" x14ac:dyDescent="0.35">
      <c r="A939" s="1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</row>
    <row r="940" spans="1:42" ht="14.5" x14ac:dyDescent="0.35">
      <c r="A940" s="1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</row>
    <row r="941" spans="1:42" ht="14.5" x14ac:dyDescent="0.35">
      <c r="A941" s="1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</row>
    <row r="942" spans="1:42" ht="14.5" x14ac:dyDescent="0.35">
      <c r="A942" s="1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</row>
    <row r="943" spans="1:42" ht="14.5" x14ac:dyDescent="0.35">
      <c r="A943" s="1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</row>
    <row r="944" spans="1:42" ht="14.5" x14ac:dyDescent="0.35">
      <c r="A944" s="1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</row>
    <row r="945" spans="1:42" ht="14.5" x14ac:dyDescent="0.35">
      <c r="A945" s="1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</row>
    <row r="946" spans="1:42" ht="14.5" x14ac:dyDescent="0.35">
      <c r="A946" s="1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</row>
    <row r="947" spans="1:42" ht="14.5" x14ac:dyDescent="0.35">
      <c r="A947" s="1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</row>
    <row r="948" spans="1:42" ht="14.5" x14ac:dyDescent="0.35">
      <c r="A948" s="1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</row>
    <row r="949" spans="1:42" ht="14.5" x14ac:dyDescent="0.35">
      <c r="A949" s="1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</row>
    <row r="950" spans="1:42" ht="14.5" x14ac:dyDescent="0.35">
      <c r="A950" s="1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</row>
    <row r="951" spans="1:42" ht="14.5" x14ac:dyDescent="0.35">
      <c r="A951" s="1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</row>
    <row r="952" spans="1:42" ht="14.5" x14ac:dyDescent="0.35">
      <c r="A952" s="1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</row>
    <row r="953" spans="1:42" ht="14.5" x14ac:dyDescent="0.35">
      <c r="A953" s="1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</row>
    <row r="954" spans="1:42" ht="14.5" x14ac:dyDescent="0.35">
      <c r="A954" s="1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</row>
    <row r="955" spans="1:42" ht="14.5" x14ac:dyDescent="0.35">
      <c r="A955" s="1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</row>
    <row r="956" spans="1:42" ht="14.5" x14ac:dyDescent="0.35">
      <c r="A956" s="1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</row>
    <row r="957" spans="1:42" ht="14.5" x14ac:dyDescent="0.35">
      <c r="A957" s="1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</row>
  </sheetData>
  <mergeCells count="16">
    <mergeCell ref="A5:A6"/>
    <mergeCell ref="AG5:AG6"/>
    <mergeCell ref="AO5:AO6"/>
    <mergeCell ref="AP5:AP6"/>
    <mergeCell ref="AH5:AH6"/>
    <mergeCell ref="AI5:AI6"/>
    <mergeCell ref="AJ5:AJ6"/>
    <mergeCell ref="AK5:AK6"/>
    <mergeCell ref="AL5:AL6"/>
    <mergeCell ref="AM5:AM6"/>
    <mergeCell ref="AN5:AN6"/>
    <mergeCell ref="B1:H1"/>
    <mergeCell ref="I1:J1"/>
    <mergeCell ref="K1:L1"/>
    <mergeCell ref="B2:C2"/>
    <mergeCell ref="F2:G2"/>
  </mergeCells>
  <conditionalFormatting sqref="C7:AF41">
    <cfRule type="containsBlanks" dxfId="1" priority="1">
      <formula>LEN(TRIM(C7))=0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P956"/>
  <sheetViews>
    <sheetView tabSelected="1" workbookViewId="0">
      <pane xSplit="1" ySplit="6" topLeftCell="B23" activePane="bottomRight" state="frozen"/>
      <selection pane="topRight" activeCell="B1" sqref="B1"/>
      <selection pane="bottomLeft" activeCell="A7" sqref="A7"/>
      <selection pane="bottomRight" activeCell="A28" sqref="A28:XFD28"/>
    </sheetView>
  </sheetViews>
  <sheetFormatPr defaultColWidth="12.6328125" defaultRowHeight="15.75" customHeight="1" x14ac:dyDescent="0.25"/>
  <cols>
    <col min="1" max="1" width="21.453125" customWidth="1"/>
    <col min="8" max="8" width="13" customWidth="1"/>
  </cols>
  <sheetData>
    <row r="1" spans="1:42" ht="14.5" x14ac:dyDescent="0.35">
      <c r="A1" s="14"/>
      <c r="B1" s="30" t="s">
        <v>38</v>
      </c>
      <c r="C1" s="31"/>
      <c r="D1" s="31"/>
      <c r="E1" s="31"/>
      <c r="F1" s="31"/>
      <c r="G1" s="31"/>
      <c r="H1" s="31"/>
      <c r="I1" s="32" t="s">
        <v>11</v>
      </c>
      <c r="J1" s="31"/>
      <c r="K1" s="32">
        <v>2026</v>
      </c>
      <c r="L1" s="33"/>
      <c r="M1" s="15"/>
      <c r="N1" s="15"/>
      <c r="O1" s="15"/>
      <c r="P1" s="15"/>
      <c r="Q1" s="15"/>
      <c r="R1" s="14"/>
      <c r="S1" s="14"/>
      <c r="T1" s="14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</row>
    <row r="2" spans="1:42" ht="14.5" x14ac:dyDescent="0.35">
      <c r="A2" s="15"/>
      <c r="B2" s="34" t="s">
        <v>39</v>
      </c>
      <c r="C2" s="35"/>
      <c r="D2" s="17">
        <f>DATEVALUE("1"&amp;I1&amp;K1)</f>
        <v>46113</v>
      </c>
      <c r="E2" s="18"/>
      <c r="F2" s="34" t="s">
        <v>40</v>
      </c>
      <c r="G2" s="35"/>
      <c r="H2" s="17">
        <f>EOMONTH(D2,0)</f>
        <v>46142</v>
      </c>
      <c r="I2" s="15"/>
      <c r="J2" s="15"/>
      <c r="K2" s="15"/>
      <c r="L2" s="14"/>
      <c r="M2" s="15"/>
      <c r="N2" s="15"/>
      <c r="O2" s="14"/>
      <c r="P2" s="18"/>
      <c r="Q2" s="18"/>
      <c r="R2" s="15"/>
      <c r="S2" s="15"/>
      <c r="T2" s="15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</row>
    <row r="3" spans="1:42" ht="14.5" x14ac:dyDescent="0.3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</row>
    <row r="4" spans="1:42" ht="14.5" x14ac:dyDescent="0.35">
      <c r="A4" s="16"/>
      <c r="B4" s="16" t="str">
        <f>IFERROR(IF(B6="",1,VLOOKUP(B6,Helper!$D$2:$E$18,2,0)),"")</f>
        <v/>
      </c>
      <c r="C4" s="16" t="str">
        <f>IFERROR(IF(C6="",1,VLOOKUP(C6,Helper!$D$2:$E$18,2,0)),"")</f>
        <v/>
      </c>
      <c r="D4" s="16" t="str">
        <f>IFERROR(IF(D6="",1,VLOOKUP(D6,Helper!$D$2:$E$18,2,0)),"")</f>
        <v>OH</v>
      </c>
      <c r="E4" s="16" t="str">
        <f>IFERROR(IF(E6="",1,VLOOKUP(E6,Helper!$D$2:$E$18,2,0)),"")</f>
        <v/>
      </c>
      <c r="F4" s="16" t="str">
        <f>IFERROR(IF(F6="",1,VLOOKUP(F6,Helper!$D$2:$E$18,2,0)),"")</f>
        <v/>
      </c>
      <c r="G4" s="16" t="str">
        <f>IFERROR(IF(G6="",1,VLOOKUP(G6,Helper!$D$2:$E$18,2,0)),"")</f>
        <v/>
      </c>
      <c r="H4" s="16" t="str">
        <f>IFERROR(IF(H6="",1,VLOOKUP(H6,Helper!$D$2:$E$18,2,0)),"")</f>
        <v/>
      </c>
      <c r="I4" s="16" t="str">
        <f>IFERROR(IF(I6="",1,VLOOKUP(I6,Helper!$D$2:$E$18,2,0)),"")</f>
        <v/>
      </c>
      <c r="J4" s="16" t="str">
        <f>IFERROR(IF(J6="",1,VLOOKUP(J6,Helper!$D$2:$E$18,2,0)),"")</f>
        <v/>
      </c>
      <c r="K4" s="16" t="str">
        <f>IFERROR(IF(K6="",1,VLOOKUP(K6,Helper!$D$2:$E$18,2,0)),"")</f>
        <v/>
      </c>
      <c r="L4" s="16" t="str">
        <f>IFERROR(IF(L6="",1,VLOOKUP(L6,Helper!$D$2:$E$18,2,0)),"")</f>
        <v/>
      </c>
      <c r="M4" s="16" t="str">
        <f>IFERROR(IF(M6="",1,VLOOKUP(M6,Helper!$D$2:$E$18,2,0)),"")</f>
        <v/>
      </c>
      <c r="N4" s="16" t="str">
        <f>IFERROR(IF(N6="",1,VLOOKUP(N6,Helper!$D$2:$E$18,2,0)),"")</f>
        <v/>
      </c>
      <c r="O4" s="16" t="str">
        <f>IFERROR(IF(O6="",1,VLOOKUP(O6,Helper!$D$2:$E$18,2,0)),"")</f>
        <v>OH</v>
      </c>
      <c r="P4" s="16"/>
      <c r="Q4" s="16" t="str">
        <f>IFERROR(IF(Q6="",1,VLOOKUP(Q6,Helper!$D$2:$E$18,2,0)),"")</f>
        <v/>
      </c>
      <c r="R4" s="16" t="str">
        <f>IFERROR(IF(R6="",1,VLOOKUP(R6,Helper!$D$2:$E$18,2,0)),"")</f>
        <v/>
      </c>
      <c r="S4" s="16" t="str">
        <f>IFERROR(IF(S6="",1,VLOOKUP(S6,Helper!$D$2:$E$18,2,0)),"")</f>
        <v/>
      </c>
      <c r="T4" s="16" t="str">
        <f>IFERROR(IF(T6="",1,VLOOKUP(T6,Helper!$D$2:$E$18,2,0)),"")</f>
        <v/>
      </c>
      <c r="U4" s="16" t="str">
        <f>IFERROR(IF(U6="",1,VLOOKUP(U6,Helper!$D$2:$E$18,2,0)),"")</f>
        <v/>
      </c>
      <c r="V4" s="16" t="str">
        <f>IFERROR(IF(V6="",1,VLOOKUP(V6,Helper!$D$2:$E$18,2,0)),"")</f>
        <v/>
      </c>
      <c r="W4" s="16" t="str">
        <f>IFERROR(IF(W6="",1,VLOOKUP(W6,Helper!$D$2:$E$18,2,0)),"")</f>
        <v/>
      </c>
      <c r="X4" s="16" t="str">
        <f>IFERROR(IF(X6="",1,VLOOKUP(X6,Helper!$D$2:$E$18,2,0)),"")</f>
        <v/>
      </c>
      <c r="Y4" s="16" t="str">
        <f>IFERROR(IF(Y6="",1,VLOOKUP(Y6,Helper!$D$2:$E$18,2,0)),"")</f>
        <v/>
      </c>
      <c r="Z4" s="16" t="str">
        <f>IFERROR(IF(Z6="",1,VLOOKUP(Z6,Helper!$D$2:$E$18,2,0)),"")</f>
        <v/>
      </c>
      <c r="AA4" s="16" t="str">
        <f>IFERROR(IF(AA6="",1,VLOOKUP(AA6,Helper!$D$2:$E$18,2,0)),"")</f>
        <v/>
      </c>
      <c r="AB4" s="16"/>
      <c r="AC4" s="16" t="str">
        <f>IFERROR(IF(AC6="",1,VLOOKUP(AC6,Helper!$D$2:$E$18,2,0)),"")</f>
        <v/>
      </c>
      <c r="AD4" s="16" t="str">
        <f>IFERROR(IF(AD6="",1,VLOOKUP(AD6,Helper!$D$2:$E$18,2,0)),"")</f>
        <v/>
      </c>
      <c r="AE4" s="16" t="str">
        <f>IFERROR(IF(AE6="",1,VLOOKUP(AE6,Helper!$D$2:$E$18,2,0)),"")</f>
        <v/>
      </c>
      <c r="AF4" s="16">
        <f>IFERROR(IF(AF6="",1,VLOOKUP(AF6,Helper!$D$2:$E$18,2,0)),"")</f>
        <v>1</v>
      </c>
      <c r="AG4" s="16"/>
      <c r="AH4" s="16"/>
      <c r="AI4" s="16"/>
      <c r="AJ4" s="16"/>
      <c r="AK4" s="16"/>
      <c r="AL4" s="16"/>
      <c r="AM4" s="16"/>
      <c r="AN4" s="16"/>
      <c r="AO4" s="16"/>
      <c r="AP4" s="16"/>
    </row>
    <row r="5" spans="1:42" ht="14.5" x14ac:dyDescent="0.35">
      <c r="A5" s="36" t="s">
        <v>41</v>
      </c>
      <c r="B5" s="19" t="str">
        <f t="shared" ref="B5:AF5" si="0">TEXT(B6,"DDD")</f>
        <v>Wed</v>
      </c>
      <c r="C5" s="19" t="str">
        <f t="shared" si="0"/>
        <v>Thu</v>
      </c>
      <c r="D5" s="19" t="str">
        <f t="shared" si="0"/>
        <v>Fri</v>
      </c>
      <c r="E5" s="19" t="str">
        <f t="shared" si="0"/>
        <v>Sat</v>
      </c>
      <c r="F5" s="19" t="str">
        <f t="shared" si="0"/>
        <v>Sun</v>
      </c>
      <c r="G5" s="19" t="str">
        <f t="shared" si="0"/>
        <v>Mon</v>
      </c>
      <c r="H5" s="19" t="str">
        <f t="shared" si="0"/>
        <v>Tue</v>
      </c>
      <c r="I5" s="19" t="str">
        <f t="shared" si="0"/>
        <v>Wed</v>
      </c>
      <c r="J5" s="19" t="str">
        <f t="shared" si="0"/>
        <v>Thu</v>
      </c>
      <c r="K5" s="19" t="str">
        <f t="shared" si="0"/>
        <v>Fri</v>
      </c>
      <c r="L5" s="19" t="str">
        <f t="shared" si="0"/>
        <v>Sat</v>
      </c>
      <c r="M5" s="19" t="str">
        <f t="shared" si="0"/>
        <v>Sun</v>
      </c>
      <c r="N5" s="19" t="str">
        <f t="shared" si="0"/>
        <v>Mon</v>
      </c>
      <c r="O5" s="19" t="str">
        <f t="shared" si="0"/>
        <v>Tue</v>
      </c>
      <c r="P5" s="19" t="str">
        <f t="shared" si="0"/>
        <v>Wed</v>
      </c>
      <c r="Q5" s="19" t="str">
        <f t="shared" si="0"/>
        <v>Thu</v>
      </c>
      <c r="R5" s="19" t="str">
        <f t="shared" si="0"/>
        <v>Fri</v>
      </c>
      <c r="S5" s="19" t="str">
        <f t="shared" si="0"/>
        <v>Sat</v>
      </c>
      <c r="T5" s="19" t="str">
        <f t="shared" si="0"/>
        <v>Sun</v>
      </c>
      <c r="U5" s="19" t="str">
        <f t="shared" si="0"/>
        <v>Mon</v>
      </c>
      <c r="V5" s="19" t="str">
        <f t="shared" si="0"/>
        <v>Tue</v>
      </c>
      <c r="W5" s="19" t="str">
        <f t="shared" si="0"/>
        <v>Wed</v>
      </c>
      <c r="X5" s="19" t="str">
        <f t="shared" si="0"/>
        <v>Thu</v>
      </c>
      <c r="Y5" s="19" t="str">
        <f t="shared" si="0"/>
        <v>Fri</v>
      </c>
      <c r="Z5" s="19" t="str">
        <f t="shared" si="0"/>
        <v>Sat</v>
      </c>
      <c r="AA5" s="19" t="str">
        <f t="shared" si="0"/>
        <v>Sun</v>
      </c>
      <c r="AB5" s="19" t="str">
        <f t="shared" si="0"/>
        <v>Mon</v>
      </c>
      <c r="AC5" s="19" t="str">
        <f t="shared" si="0"/>
        <v>Tue</v>
      </c>
      <c r="AD5" s="19" t="str">
        <f t="shared" si="0"/>
        <v>Wed</v>
      </c>
      <c r="AE5" s="19" t="str">
        <f t="shared" si="0"/>
        <v>Thu</v>
      </c>
      <c r="AF5" s="19" t="str">
        <f t="shared" si="0"/>
        <v/>
      </c>
      <c r="AG5" s="38" t="s">
        <v>42</v>
      </c>
      <c r="AH5" s="38" t="s">
        <v>43</v>
      </c>
      <c r="AI5" s="38" t="s">
        <v>44</v>
      </c>
      <c r="AJ5" s="38" t="s">
        <v>45</v>
      </c>
      <c r="AK5" s="38" t="s">
        <v>46</v>
      </c>
      <c r="AL5" s="38" t="s">
        <v>47</v>
      </c>
      <c r="AM5" s="38" t="s">
        <v>48</v>
      </c>
      <c r="AN5" s="38" t="s">
        <v>49</v>
      </c>
      <c r="AO5" s="38" t="s">
        <v>50</v>
      </c>
      <c r="AP5" s="38" t="s">
        <v>51</v>
      </c>
    </row>
    <row r="6" spans="1:42" ht="14.5" x14ac:dyDescent="0.35">
      <c r="A6" s="37"/>
      <c r="B6" s="20">
        <f>D2</f>
        <v>46113</v>
      </c>
      <c r="C6" s="20">
        <f t="shared" ref="C6:AF6" si="1">IF(B6&lt;$H$2,B6+1,"")</f>
        <v>46114</v>
      </c>
      <c r="D6" s="20">
        <f t="shared" si="1"/>
        <v>46115</v>
      </c>
      <c r="E6" s="20">
        <f t="shared" si="1"/>
        <v>46116</v>
      </c>
      <c r="F6" s="20">
        <f t="shared" si="1"/>
        <v>46117</v>
      </c>
      <c r="G6" s="20">
        <f t="shared" si="1"/>
        <v>46118</v>
      </c>
      <c r="H6" s="20">
        <f t="shared" si="1"/>
        <v>46119</v>
      </c>
      <c r="I6" s="20">
        <f t="shared" si="1"/>
        <v>46120</v>
      </c>
      <c r="J6" s="20">
        <f t="shared" si="1"/>
        <v>46121</v>
      </c>
      <c r="K6" s="20">
        <f t="shared" si="1"/>
        <v>46122</v>
      </c>
      <c r="L6" s="20">
        <f t="shared" si="1"/>
        <v>46123</v>
      </c>
      <c r="M6" s="20">
        <f t="shared" si="1"/>
        <v>46124</v>
      </c>
      <c r="N6" s="20">
        <f t="shared" si="1"/>
        <v>46125</v>
      </c>
      <c r="O6" s="20">
        <f t="shared" si="1"/>
        <v>46126</v>
      </c>
      <c r="P6" s="20">
        <f t="shared" si="1"/>
        <v>46127</v>
      </c>
      <c r="Q6" s="20">
        <f t="shared" si="1"/>
        <v>46128</v>
      </c>
      <c r="R6" s="20">
        <f t="shared" si="1"/>
        <v>46129</v>
      </c>
      <c r="S6" s="20">
        <f t="shared" si="1"/>
        <v>46130</v>
      </c>
      <c r="T6" s="20">
        <f t="shared" si="1"/>
        <v>46131</v>
      </c>
      <c r="U6" s="20">
        <f t="shared" si="1"/>
        <v>46132</v>
      </c>
      <c r="V6" s="20">
        <f t="shared" si="1"/>
        <v>46133</v>
      </c>
      <c r="W6" s="20">
        <f t="shared" si="1"/>
        <v>46134</v>
      </c>
      <c r="X6" s="20">
        <f t="shared" si="1"/>
        <v>46135</v>
      </c>
      <c r="Y6" s="20">
        <f t="shared" si="1"/>
        <v>46136</v>
      </c>
      <c r="Z6" s="20">
        <f t="shared" si="1"/>
        <v>46137</v>
      </c>
      <c r="AA6" s="20">
        <f t="shared" si="1"/>
        <v>46138</v>
      </c>
      <c r="AB6" s="20">
        <f t="shared" si="1"/>
        <v>46139</v>
      </c>
      <c r="AC6" s="20">
        <f t="shared" si="1"/>
        <v>46140</v>
      </c>
      <c r="AD6" s="20">
        <f t="shared" si="1"/>
        <v>46141</v>
      </c>
      <c r="AE6" s="20">
        <f t="shared" si="1"/>
        <v>46142</v>
      </c>
      <c r="AF6" s="20" t="str">
        <f t="shared" si="1"/>
        <v/>
      </c>
      <c r="AG6" s="37"/>
      <c r="AH6" s="37"/>
      <c r="AI6" s="37"/>
      <c r="AJ6" s="37"/>
      <c r="AK6" s="37"/>
      <c r="AL6" s="37"/>
      <c r="AM6" s="37"/>
      <c r="AN6" s="37"/>
      <c r="AO6" s="37"/>
      <c r="AP6" s="37"/>
    </row>
    <row r="7" spans="1:42" ht="14.5" x14ac:dyDescent="0.35">
      <c r="A7" s="21" t="s">
        <v>52</v>
      </c>
      <c r="B7" s="21" t="s">
        <v>53</v>
      </c>
      <c r="C7" s="21" t="s">
        <v>53</v>
      </c>
      <c r="D7" s="21" t="s">
        <v>53</v>
      </c>
      <c r="E7" s="21" t="s">
        <v>54</v>
      </c>
      <c r="F7" s="21" t="s">
        <v>54</v>
      </c>
      <c r="G7" s="21" t="s">
        <v>53</v>
      </c>
      <c r="H7" s="21" t="s">
        <v>53</v>
      </c>
      <c r="I7" s="21" t="s">
        <v>53</v>
      </c>
      <c r="J7" s="21" t="s">
        <v>53</v>
      </c>
      <c r="K7" s="21" t="s">
        <v>53</v>
      </c>
      <c r="L7" s="21" t="s">
        <v>54</v>
      </c>
      <c r="M7" s="21" t="s">
        <v>54</v>
      </c>
      <c r="N7" s="21" t="s">
        <v>53</v>
      </c>
      <c r="O7" s="21" t="s">
        <v>53</v>
      </c>
      <c r="P7" s="21" t="s">
        <v>53</v>
      </c>
      <c r="Q7" s="21" t="s">
        <v>53</v>
      </c>
      <c r="R7" s="21" t="s">
        <v>53</v>
      </c>
      <c r="S7" s="21" t="s">
        <v>54</v>
      </c>
      <c r="T7" s="21" t="s">
        <v>54</v>
      </c>
      <c r="U7" s="21" t="s">
        <v>53</v>
      </c>
      <c r="V7" s="21" t="s">
        <v>53</v>
      </c>
      <c r="W7" s="21" t="s">
        <v>53</v>
      </c>
      <c r="X7" s="21" t="s">
        <v>53</v>
      </c>
      <c r="Y7" s="21" t="s">
        <v>53</v>
      </c>
      <c r="Z7" s="21" t="s">
        <v>54</v>
      </c>
      <c r="AA7" s="21" t="s">
        <v>54</v>
      </c>
      <c r="AB7" s="21" t="s">
        <v>53</v>
      </c>
      <c r="AC7" s="21" t="s">
        <v>53</v>
      </c>
      <c r="AD7" s="21" t="s">
        <v>53</v>
      </c>
      <c r="AE7" s="21" t="s">
        <v>53</v>
      </c>
      <c r="AF7" s="21"/>
      <c r="AG7" s="21">
        <f t="shared" ref="AG7:AG8" si="2">(COUNTIF(C7:AF7,"P*")+(0.5*COUNTIF(C7:AF7,"*HD*")))-(COUNTIF(C7:AF7,"*PL*"))</f>
        <v>21</v>
      </c>
      <c r="AH7" s="21">
        <f t="shared" ref="AH7:AH8" si="3">COUNTIF(C7:AF7,"PL")</f>
        <v>0</v>
      </c>
      <c r="AI7" s="21">
        <f t="shared" ref="AI7:AI8" si="4">COUNTIF(C7:AF7,"UL")+(0.5*COUNTIF(C7:AF7,"*HD*"))</f>
        <v>0</v>
      </c>
      <c r="AJ7" s="21">
        <f t="shared" ref="AJ7:AJ8" si="5">COUNTIF(C7:AF7,"LOP")</f>
        <v>0</v>
      </c>
      <c r="AK7" s="21">
        <f t="shared" ref="AK7:AK40" si="6">COUNTIFS(B7:AF7,"*P*",$B$4:$AF$4,"MH")</f>
        <v>0</v>
      </c>
      <c r="AL7" s="21">
        <f t="shared" ref="AL7:AL40" si="7">COUNTIFS(B7:AF7,"*P*",$B$4:$AF$4,"OH")</f>
        <v>2</v>
      </c>
      <c r="AM7" s="21">
        <f t="shared" ref="AM7:AM40" si="8">COUNTIFS(B7:AF7,"*P*",$B$4:$AF$4,"OH")+COUNTIFS(B7:AF7,"*P*",$B$4:$AF$4,"MH")</f>
        <v>2</v>
      </c>
      <c r="AN7" s="21">
        <f t="shared" ref="AN7:AN40" si="9">COUNTIF(B7:AF7,"OH")</f>
        <v>0</v>
      </c>
      <c r="AO7" s="21">
        <f t="shared" ref="AO7:AO8" si="10">COUNTIF(C7:AF7,"*LL*")</f>
        <v>0</v>
      </c>
      <c r="AP7" s="21">
        <f t="shared" ref="AP7:AP40" si="11">COUNTIFS(B7:AF7,"*WH*",$B$4:$AF$4,"&lt;&gt;"&amp;"MH")</f>
        <v>0</v>
      </c>
    </row>
    <row r="8" spans="1:42" ht="14.5" x14ac:dyDescent="0.35">
      <c r="A8" s="21" t="s">
        <v>55</v>
      </c>
      <c r="B8" s="21" t="s">
        <v>53</v>
      </c>
      <c r="C8" s="21" t="s">
        <v>53</v>
      </c>
      <c r="D8" s="21" t="s">
        <v>56</v>
      </c>
      <c r="E8" s="21" t="s">
        <v>54</v>
      </c>
      <c r="F8" s="21" t="s">
        <v>54</v>
      </c>
      <c r="G8" s="21" t="s">
        <v>53</v>
      </c>
      <c r="H8" s="21" t="s">
        <v>56</v>
      </c>
      <c r="I8" s="21" t="s">
        <v>53</v>
      </c>
      <c r="J8" s="21" t="s">
        <v>53</v>
      </c>
      <c r="K8" s="21" t="s">
        <v>53</v>
      </c>
      <c r="L8" s="21" t="s">
        <v>54</v>
      </c>
      <c r="M8" s="21" t="s">
        <v>54</v>
      </c>
      <c r="N8" s="21" t="s">
        <v>56</v>
      </c>
      <c r="O8" s="21" t="s">
        <v>56</v>
      </c>
      <c r="P8" s="21" t="s">
        <v>56</v>
      </c>
      <c r="Q8" s="21" t="s">
        <v>56</v>
      </c>
      <c r="R8" s="21" t="s">
        <v>53</v>
      </c>
      <c r="S8" s="21" t="s">
        <v>54</v>
      </c>
      <c r="T8" s="21" t="s">
        <v>54</v>
      </c>
      <c r="U8" s="21" t="s">
        <v>53</v>
      </c>
      <c r="V8" s="21" t="s">
        <v>53</v>
      </c>
      <c r="W8" s="21" t="s">
        <v>53</v>
      </c>
      <c r="X8" s="21" t="s">
        <v>53</v>
      </c>
      <c r="Y8" s="21" t="s">
        <v>53</v>
      </c>
      <c r="Z8" s="21" t="s">
        <v>54</v>
      </c>
      <c r="AA8" s="21" t="s">
        <v>54</v>
      </c>
      <c r="AB8" s="21" t="s">
        <v>56</v>
      </c>
      <c r="AC8" s="21" t="s">
        <v>19</v>
      </c>
      <c r="AD8" s="21" t="s">
        <v>56</v>
      </c>
      <c r="AE8" s="21" t="s">
        <v>19</v>
      </c>
      <c r="AF8" s="21"/>
      <c r="AG8" s="21">
        <f t="shared" si="2"/>
        <v>19</v>
      </c>
      <c r="AH8" s="21">
        <f t="shared" si="3"/>
        <v>0</v>
      </c>
      <c r="AI8" s="21">
        <f t="shared" si="4"/>
        <v>2</v>
      </c>
      <c r="AJ8" s="21">
        <f t="shared" si="5"/>
        <v>0</v>
      </c>
      <c r="AK8" s="21">
        <f t="shared" si="6"/>
        <v>0</v>
      </c>
      <c r="AL8" s="21">
        <f t="shared" si="7"/>
        <v>2</v>
      </c>
      <c r="AM8" s="21">
        <f t="shared" si="8"/>
        <v>2</v>
      </c>
      <c r="AN8" s="21">
        <f t="shared" si="9"/>
        <v>0</v>
      </c>
      <c r="AO8" s="21">
        <f t="shared" si="10"/>
        <v>8</v>
      </c>
      <c r="AP8" s="21">
        <f t="shared" si="11"/>
        <v>0</v>
      </c>
    </row>
    <row r="9" spans="1:42" ht="14.5" x14ac:dyDescent="0.35">
      <c r="A9" s="21" t="s">
        <v>57</v>
      </c>
      <c r="B9" s="21" t="s">
        <v>56</v>
      </c>
      <c r="C9" s="21" t="s">
        <v>53</v>
      </c>
      <c r="D9" s="21" t="s">
        <v>56</v>
      </c>
      <c r="E9" s="21" t="s">
        <v>54</v>
      </c>
      <c r="F9" s="21" t="s">
        <v>54</v>
      </c>
      <c r="G9" s="21" t="s">
        <v>53</v>
      </c>
      <c r="H9" s="21" t="s">
        <v>54</v>
      </c>
      <c r="I9" s="21" t="s">
        <v>54</v>
      </c>
      <c r="J9" s="21" t="s">
        <v>53</v>
      </c>
      <c r="K9" s="21" t="s">
        <v>56</v>
      </c>
      <c r="L9" s="21" t="s">
        <v>56</v>
      </c>
      <c r="M9" s="21" t="s">
        <v>53</v>
      </c>
      <c r="N9" s="21" t="s">
        <v>56</v>
      </c>
      <c r="O9" s="21" t="s">
        <v>54</v>
      </c>
      <c r="P9" s="21" t="s">
        <v>54</v>
      </c>
      <c r="Q9" s="21" t="s">
        <v>53</v>
      </c>
      <c r="R9" s="21" t="s">
        <v>53</v>
      </c>
      <c r="S9" s="21" t="s">
        <v>53</v>
      </c>
      <c r="T9" s="21" t="s">
        <v>19</v>
      </c>
      <c r="U9" s="21" t="s">
        <v>53</v>
      </c>
      <c r="V9" s="21" t="s">
        <v>54</v>
      </c>
      <c r="W9" s="21" t="s">
        <v>54</v>
      </c>
      <c r="X9" s="21" t="s">
        <v>56</v>
      </c>
      <c r="Y9" s="21" t="s">
        <v>53</v>
      </c>
      <c r="Z9" s="21" t="s">
        <v>53</v>
      </c>
      <c r="AA9" s="21" t="s">
        <v>53</v>
      </c>
      <c r="AB9" s="21" t="s">
        <v>56</v>
      </c>
      <c r="AC9" s="21" t="s">
        <v>22</v>
      </c>
      <c r="AD9" s="21" t="s">
        <v>54</v>
      </c>
      <c r="AE9" s="21" t="s">
        <v>54</v>
      </c>
      <c r="AF9" s="21"/>
      <c r="AG9" s="21">
        <f t="shared" ref="AG9:AG40" si="12">(COUNTIF(B9:AF9,"P*")+(0.5*COUNTIF(B9:AF9,"*HD*")))-(COUNTIF(B9:AF9,"*PL*"))</f>
        <v>18.5</v>
      </c>
      <c r="AH9" s="21">
        <f t="shared" ref="AH9:AH40" si="13">COUNTIF(B9:AF9,"PL")</f>
        <v>0</v>
      </c>
      <c r="AI9" s="21">
        <f t="shared" ref="AI9:AI40" si="14">COUNTIF(B9:AF9,"UL")+(0.5*COUNTIF(B9:AF9,"*HD*"))</f>
        <v>1.5</v>
      </c>
      <c r="AJ9" s="21">
        <f t="shared" ref="AJ9:AJ40" si="15">COUNTIF(B9:AF9,"LOP")</f>
        <v>0</v>
      </c>
      <c r="AK9" s="21">
        <f t="shared" si="6"/>
        <v>0</v>
      </c>
      <c r="AL9" s="21">
        <f t="shared" si="7"/>
        <v>1</v>
      </c>
      <c r="AM9" s="21">
        <f t="shared" si="8"/>
        <v>1</v>
      </c>
      <c r="AN9" s="21">
        <f t="shared" si="9"/>
        <v>0</v>
      </c>
      <c r="AO9" s="21">
        <f t="shared" ref="AO9:AO40" si="16">COUNTIF(B9:AF9,"*LL*")</f>
        <v>7</v>
      </c>
      <c r="AP9" s="21">
        <f t="shared" si="11"/>
        <v>0</v>
      </c>
    </row>
    <row r="10" spans="1:42" ht="14.5" x14ac:dyDescent="0.35">
      <c r="A10" s="21" t="s">
        <v>58</v>
      </c>
      <c r="B10" s="21" t="s">
        <v>56</v>
      </c>
      <c r="C10" s="21" t="s">
        <v>56</v>
      </c>
      <c r="D10" s="21" t="s">
        <v>53</v>
      </c>
      <c r="E10" s="21" t="s">
        <v>54</v>
      </c>
      <c r="F10" s="21" t="s">
        <v>54</v>
      </c>
      <c r="G10" s="21" t="s">
        <v>53</v>
      </c>
      <c r="H10" s="21" t="s">
        <v>56</v>
      </c>
      <c r="I10" s="21" t="s">
        <v>53</v>
      </c>
      <c r="J10" s="21" t="s">
        <v>53</v>
      </c>
      <c r="K10" s="21" t="s">
        <v>56</v>
      </c>
      <c r="L10" s="21" t="s">
        <v>54</v>
      </c>
      <c r="M10" s="21" t="s">
        <v>54</v>
      </c>
      <c r="N10" s="21" t="s">
        <v>53</v>
      </c>
      <c r="O10" s="21" t="s">
        <v>53</v>
      </c>
      <c r="P10" s="21" t="s">
        <v>56</v>
      </c>
      <c r="Q10" s="21" t="s">
        <v>53</v>
      </c>
      <c r="R10" s="21" t="s">
        <v>56</v>
      </c>
      <c r="S10" s="21" t="s">
        <v>54</v>
      </c>
      <c r="T10" s="21" t="s">
        <v>54</v>
      </c>
      <c r="U10" s="21" t="s">
        <v>62</v>
      </c>
      <c r="V10" s="21" t="s">
        <v>62</v>
      </c>
      <c r="W10" s="21" t="s">
        <v>62</v>
      </c>
      <c r="X10" s="21" t="s">
        <v>62</v>
      </c>
      <c r="Y10" s="21" t="s">
        <v>16</v>
      </c>
      <c r="Z10" s="21" t="s">
        <v>54</v>
      </c>
      <c r="AA10" s="21" t="s">
        <v>54</v>
      </c>
      <c r="AB10" s="21" t="s">
        <v>53</v>
      </c>
      <c r="AC10" s="21" t="s">
        <v>56</v>
      </c>
      <c r="AD10" s="21" t="s">
        <v>56</v>
      </c>
      <c r="AE10" s="21" t="s">
        <v>56</v>
      </c>
      <c r="AF10" s="21"/>
      <c r="AG10" s="21">
        <f t="shared" si="12"/>
        <v>21</v>
      </c>
      <c r="AH10" s="21">
        <f t="shared" si="13"/>
        <v>1</v>
      </c>
      <c r="AI10" s="21">
        <f t="shared" si="14"/>
        <v>0</v>
      </c>
      <c r="AJ10" s="21">
        <f t="shared" si="15"/>
        <v>0</v>
      </c>
      <c r="AK10" s="21">
        <f t="shared" si="6"/>
        <v>0</v>
      </c>
      <c r="AL10" s="21">
        <f t="shared" si="7"/>
        <v>2</v>
      </c>
      <c r="AM10" s="21">
        <f t="shared" si="8"/>
        <v>2</v>
      </c>
      <c r="AN10" s="21">
        <f t="shared" si="9"/>
        <v>0</v>
      </c>
      <c r="AO10" s="21">
        <f t="shared" si="16"/>
        <v>9</v>
      </c>
      <c r="AP10" s="21">
        <f t="shared" si="11"/>
        <v>4</v>
      </c>
    </row>
    <row r="11" spans="1:42" ht="14.5" x14ac:dyDescent="0.35">
      <c r="A11" s="21" t="s">
        <v>59</v>
      </c>
      <c r="B11" s="21" t="s">
        <v>53</v>
      </c>
      <c r="C11" s="21" t="s">
        <v>53</v>
      </c>
      <c r="D11" s="21" t="s">
        <v>4</v>
      </c>
      <c r="E11" s="21" t="s">
        <v>54</v>
      </c>
      <c r="F11" s="21" t="s">
        <v>54</v>
      </c>
      <c r="G11" s="21" t="s">
        <v>54</v>
      </c>
      <c r="H11" s="21" t="s">
        <v>54</v>
      </c>
      <c r="I11" s="21" t="s">
        <v>53</v>
      </c>
      <c r="J11" s="21" t="s">
        <v>53</v>
      </c>
      <c r="K11" s="21" t="s">
        <v>53</v>
      </c>
      <c r="L11" s="21" t="s">
        <v>53</v>
      </c>
      <c r="M11" s="21" t="s">
        <v>53</v>
      </c>
      <c r="N11" s="21" t="s">
        <v>53</v>
      </c>
      <c r="O11" s="21" t="s">
        <v>54</v>
      </c>
      <c r="P11" s="21" t="s">
        <v>54</v>
      </c>
      <c r="Q11" s="21" t="s">
        <v>53</v>
      </c>
      <c r="R11" s="21" t="s">
        <v>53</v>
      </c>
      <c r="S11" s="21" t="s">
        <v>53</v>
      </c>
      <c r="T11" s="21" t="s">
        <v>53</v>
      </c>
      <c r="U11" s="21" t="s">
        <v>53</v>
      </c>
      <c r="V11" s="21" t="s">
        <v>54</v>
      </c>
      <c r="W11" s="21" t="s">
        <v>54</v>
      </c>
      <c r="X11" s="21" t="s">
        <v>53</v>
      </c>
      <c r="Y11" s="21" t="s">
        <v>53</v>
      </c>
      <c r="Z11" s="21" t="s">
        <v>62</v>
      </c>
      <c r="AA11" s="21" t="s">
        <v>53</v>
      </c>
      <c r="AB11" s="21" t="s">
        <v>53</v>
      </c>
      <c r="AC11" s="21" t="s">
        <v>54</v>
      </c>
      <c r="AD11" s="21" t="s">
        <v>54</v>
      </c>
      <c r="AE11" s="21" t="s">
        <v>16</v>
      </c>
      <c r="AF11" s="21"/>
      <c r="AG11" s="21">
        <f t="shared" si="12"/>
        <v>18</v>
      </c>
      <c r="AH11" s="21">
        <f t="shared" si="13"/>
        <v>1</v>
      </c>
      <c r="AI11" s="21">
        <f t="shared" si="14"/>
        <v>0</v>
      </c>
      <c r="AJ11" s="21">
        <f t="shared" si="15"/>
        <v>0</v>
      </c>
      <c r="AK11" s="21">
        <f t="shared" si="6"/>
        <v>0</v>
      </c>
      <c r="AL11" s="21">
        <f t="shared" si="7"/>
        <v>0</v>
      </c>
      <c r="AM11" s="21">
        <f t="shared" si="8"/>
        <v>0</v>
      </c>
      <c r="AN11" s="21">
        <f t="shared" si="9"/>
        <v>1</v>
      </c>
      <c r="AO11" s="21">
        <f t="shared" si="16"/>
        <v>0</v>
      </c>
      <c r="AP11" s="21">
        <f t="shared" si="11"/>
        <v>1</v>
      </c>
    </row>
    <row r="12" spans="1:42" ht="14.5" x14ac:dyDescent="0.35">
      <c r="A12" s="21" t="s">
        <v>60</v>
      </c>
      <c r="B12" s="21" t="s">
        <v>53</v>
      </c>
      <c r="C12" s="21" t="s">
        <v>54</v>
      </c>
      <c r="D12" s="21" t="s">
        <v>54</v>
      </c>
      <c r="E12" s="21" t="s">
        <v>56</v>
      </c>
      <c r="F12" s="21" t="s">
        <v>53</v>
      </c>
      <c r="G12" s="21" t="s">
        <v>54</v>
      </c>
      <c r="H12" s="21" t="s">
        <v>54</v>
      </c>
      <c r="I12" s="21" t="s">
        <v>53</v>
      </c>
      <c r="J12" s="21" t="s">
        <v>53</v>
      </c>
      <c r="K12" s="21" t="s">
        <v>53</v>
      </c>
      <c r="L12" s="21" t="s">
        <v>16</v>
      </c>
      <c r="M12" s="21" t="s">
        <v>16</v>
      </c>
      <c r="N12" s="21" t="s">
        <v>54</v>
      </c>
      <c r="O12" s="21" t="s">
        <v>54</v>
      </c>
      <c r="P12" s="21" t="s">
        <v>53</v>
      </c>
      <c r="Q12" s="21" t="s">
        <v>53</v>
      </c>
      <c r="R12" s="21" t="s">
        <v>53</v>
      </c>
      <c r="S12" s="21" t="s">
        <v>53</v>
      </c>
      <c r="T12" s="21" t="s">
        <v>53</v>
      </c>
      <c r="U12" s="21" t="s">
        <v>54</v>
      </c>
      <c r="V12" s="21" t="s">
        <v>54</v>
      </c>
      <c r="W12" s="21" t="s">
        <v>53</v>
      </c>
      <c r="X12" s="21" t="s">
        <v>56</v>
      </c>
      <c r="Y12" s="21" t="s">
        <v>53</v>
      </c>
      <c r="Z12" s="21" t="s">
        <v>62</v>
      </c>
      <c r="AA12" s="21" t="s">
        <v>62</v>
      </c>
      <c r="AB12" s="21" t="s">
        <v>54</v>
      </c>
      <c r="AC12" s="21" t="s">
        <v>54</v>
      </c>
      <c r="AD12" s="21" t="s">
        <v>56</v>
      </c>
      <c r="AE12" s="21" t="s">
        <v>53</v>
      </c>
      <c r="AF12" s="21"/>
      <c r="AG12" s="21">
        <f t="shared" si="12"/>
        <v>18</v>
      </c>
      <c r="AH12" s="21">
        <f t="shared" si="13"/>
        <v>2</v>
      </c>
      <c r="AI12" s="21">
        <f t="shared" si="14"/>
        <v>0</v>
      </c>
      <c r="AJ12" s="21">
        <f t="shared" si="15"/>
        <v>0</v>
      </c>
      <c r="AK12" s="21">
        <f t="shared" si="6"/>
        <v>0</v>
      </c>
      <c r="AL12" s="21">
        <f t="shared" si="7"/>
        <v>0</v>
      </c>
      <c r="AM12" s="21">
        <f t="shared" si="8"/>
        <v>0</v>
      </c>
      <c r="AN12" s="21">
        <f t="shared" si="9"/>
        <v>0</v>
      </c>
      <c r="AO12" s="21">
        <f t="shared" si="16"/>
        <v>3</v>
      </c>
      <c r="AP12" s="21">
        <f t="shared" si="11"/>
        <v>2</v>
      </c>
    </row>
    <row r="13" spans="1:42" ht="14.5" x14ac:dyDescent="0.35">
      <c r="A13" s="21" t="s">
        <v>61</v>
      </c>
      <c r="B13" s="21" t="s">
        <v>53</v>
      </c>
      <c r="C13" s="21" t="s">
        <v>53</v>
      </c>
      <c r="D13" s="21" t="s">
        <v>4</v>
      </c>
      <c r="E13" s="21" t="s">
        <v>54</v>
      </c>
      <c r="F13" s="21" t="s">
        <v>54</v>
      </c>
      <c r="G13" s="21" t="s">
        <v>53</v>
      </c>
      <c r="H13" s="21" t="s">
        <v>53</v>
      </c>
      <c r="I13" s="21" t="s">
        <v>53</v>
      </c>
      <c r="J13" s="21" t="s">
        <v>56</v>
      </c>
      <c r="K13" s="21" t="s">
        <v>53</v>
      </c>
      <c r="L13" s="21" t="s">
        <v>54</v>
      </c>
      <c r="M13" s="21" t="s">
        <v>54</v>
      </c>
      <c r="N13" s="21" t="s">
        <v>53</v>
      </c>
      <c r="O13" s="21" t="s">
        <v>53</v>
      </c>
      <c r="P13" s="21" t="s">
        <v>19</v>
      </c>
      <c r="Q13" s="21" t="s">
        <v>56</v>
      </c>
      <c r="R13" s="21" t="s">
        <v>53</v>
      </c>
      <c r="S13" s="21" t="s">
        <v>54</v>
      </c>
      <c r="T13" s="21" t="s">
        <v>54</v>
      </c>
      <c r="U13" s="21" t="s">
        <v>53</v>
      </c>
      <c r="V13" s="21" t="s">
        <v>53</v>
      </c>
      <c r="W13" s="21" t="s">
        <v>53</v>
      </c>
      <c r="X13" s="21" t="s">
        <v>53</v>
      </c>
      <c r="Y13" s="21" t="s">
        <v>56</v>
      </c>
      <c r="Z13" s="21" t="s">
        <v>54</v>
      </c>
      <c r="AA13" s="21" t="s">
        <v>54</v>
      </c>
      <c r="AB13" s="21" t="s">
        <v>53</v>
      </c>
      <c r="AC13" s="21" t="s">
        <v>53</v>
      </c>
      <c r="AD13" s="21" t="s">
        <v>53</v>
      </c>
      <c r="AE13" s="21" t="s">
        <v>53</v>
      </c>
      <c r="AF13" s="21"/>
      <c r="AG13" s="21">
        <f t="shared" si="12"/>
        <v>20</v>
      </c>
      <c r="AH13" s="21">
        <f t="shared" si="13"/>
        <v>0</v>
      </c>
      <c r="AI13" s="21">
        <f t="shared" si="14"/>
        <v>1</v>
      </c>
      <c r="AJ13" s="21">
        <f t="shared" si="15"/>
        <v>0</v>
      </c>
      <c r="AK13" s="21">
        <f t="shared" si="6"/>
        <v>0</v>
      </c>
      <c r="AL13" s="21">
        <f t="shared" si="7"/>
        <v>1</v>
      </c>
      <c r="AM13" s="21">
        <f t="shared" si="8"/>
        <v>1</v>
      </c>
      <c r="AN13" s="21">
        <f t="shared" si="9"/>
        <v>1</v>
      </c>
      <c r="AO13" s="21">
        <f t="shared" si="16"/>
        <v>3</v>
      </c>
      <c r="AP13" s="21">
        <f t="shared" si="11"/>
        <v>0</v>
      </c>
    </row>
    <row r="14" spans="1:42" ht="14.5" hidden="1" x14ac:dyDescent="0.35">
      <c r="A14" s="22" t="s">
        <v>63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>
        <f t="shared" si="12"/>
        <v>0</v>
      </c>
      <c r="AH14" s="21">
        <f t="shared" si="13"/>
        <v>0</v>
      </c>
      <c r="AI14" s="21">
        <f t="shared" si="14"/>
        <v>0</v>
      </c>
      <c r="AJ14" s="21">
        <f t="shared" si="15"/>
        <v>0</v>
      </c>
      <c r="AK14" s="21">
        <f t="shared" si="6"/>
        <v>0</v>
      </c>
      <c r="AL14" s="21">
        <f t="shared" si="7"/>
        <v>0</v>
      </c>
      <c r="AM14" s="21">
        <f t="shared" si="8"/>
        <v>0</v>
      </c>
      <c r="AN14" s="21">
        <f t="shared" si="9"/>
        <v>0</v>
      </c>
      <c r="AO14" s="21">
        <f t="shared" si="16"/>
        <v>0</v>
      </c>
      <c r="AP14" s="21">
        <f t="shared" si="11"/>
        <v>0</v>
      </c>
    </row>
    <row r="15" spans="1:42" ht="14.5" x14ac:dyDescent="0.35">
      <c r="A15" s="21" t="s">
        <v>64</v>
      </c>
      <c r="B15" s="21" t="s">
        <v>54</v>
      </c>
      <c r="C15" s="21" t="s">
        <v>56</v>
      </c>
      <c r="D15" s="21" t="s">
        <v>53</v>
      </c>
      <c r="E15" s="21" t="s">
        <v>53</v>
      </c>
      <c r="F15" s="21" t="s">
        <v>56</v>
      </c>
      <c r="G15" s="21" t="s">
        <v>19</v>
      </c>
      <c r="H15" s="21" t="s">
        <v>53</v>
      </c>
      <c r="I15" s="21" t="s">
        <v>56</v>
      </c>
      <c r="J15" s="21" t="s">
        <v>54</v>
      </c>
      <c r="K15" s="21" t="s">
        <v>53</v>
      </c>
      <c r="L15" s="21" t="s">
        <v>54</v>
      </c>
      <c r="M15" s="21" t="s">
        <v>56</v>
      </c>
      <c r="N15" s="21" t="s">
        <v>56</v>
      </c>
      <c r="O15" s="21" t="s">
        <v>56</v>
      </c>
      <c r="P15" s="21" t="s">
        <v>19</v>
      </c>
      <c r="Q15" s="21" t="s">
        <v>56</v>
      </c>
      <c r="R15" s="21" t="s">
        <v>56</v>
      </c>
      <c r="S15" s="21" t="s">
        <v>54</v>
      </c>
      <c r="T15" s="21" t="s">
        <v>54</v>
      </c>
      <c r="U15" s="21" t="s">
        <v>53</v>
      </c>
      <c r="V15" s="21" t="s">
        <v>53</v>
      </c>
      <c r="W15" s="21" t="s">
        <v>53</v>
      </c>
      <c r="X15" s="21" t="s">
        <v>53</v>
      </c>
      <c r="Y15" s="21" t="s">
        <v>56</v>
      </c>
      <c r="Z15" s="21" t="s">
        <v>54</v>
      </c>
      <c r="AA15" s="21" t="s">
        <v>54</v>
      </c>
      <c r="AB15" s="21" t="s">
        <v>53</v>
      </c>
      <c r="AC15" s="21" t="s">
        <v>56</v>
      </c>
      <c r="AD15" s="21" t="s">
        <v>56</v>
      </c>
      <c r="AE15" s="21" t="s">
        <v>53</v>
      </c>
      <c r="AF15" s="21"/>
      <c r="AG15" s="21">
        <f t="shared" si="12"/>
        <v>21</v>
      </c>
      <c r="AH15" s="21">
        <f t="shared" si="13"/>
        <v>0</v>
      </c>
      <c r="AI15" s="21">
        <f t="shared" si="14"/>
        <v>2</v>
      </c>
      <c r="AJ15" s="21">
        <f t="shared" si="15"/>
        <v>0</v>
      </c>
      <c r="AK15" s="21">
        <f t="shared" si="6"/>
        <v>0</v>
      </c>
      <c r="AL15" s="21">
        <f t="shared" si="7"/>
        <v>2</v>
      </c>
      <c r="AM15" s="21">
        <f t="shared" si="8"/>
        <v>2</v>
      </c>
      <c r="AN15" s="21">
        <f t="shared" si="9"/>
        <v>0</v>
      </c>
      <c r="AO15" s="21">
        <f t="shared" si="16"/>
        <v>11</v>
      </c>
      <c r="AP15" s="21">
        <f t="shared" si="11"/>
        <v>0</v>
      </c>
    </row>
    <row r="16" spans="1:42" ht="14.5" x14ac:dyDescent="0.35">
      <c r="A16" s="21" t="s">
        <v>65</v>
      </c>
      <c r="B16" s="21" t="s">
        <v>53</v>
      </c>
      <c r="C16" s="21" t="s">
        <v>54</v>
      </c>
      <c r="D16" s="21" t="s">
        <v>54</v>
      </c>
      <c r="E16" s="21" t="s">
        <v>56</v>
      </c>
      <c r="F16" s="21" t="s">
        <v>53</v>
      </c>
      <c r="G16" s="21" t="s">
        <v>53</v>
      </c>
      <c r="H16" s="21" t="s">
        <v>53</v>
      </c>
      <c r="I16" s="21" t="s">
        <v>53</v>
      </c>
      <c r="J16" s="21" t="s">
        <v>53</v>
      </c>
      <c r="K16" s="21" t="s">
        <v>54</v>
      </c>
      <c r="L16" s="21" t="s">
        <v>54</v>
      </c>
      <c r="M16" s="21" t="s">
        <v>53</v>
      </c>
      <c r="N16" s="21" t="s">
        <v>53</v>
      </c>
      <c r="O16" s="21" t="s">
        <v>4</v>
      </c>
      <c r="P16" s="21" t="s">
        <v>53</v>
      </c>
      <c r="Q16" s="21" t="s">
        <v>53</v>
      </c>
      <c r="R16" s="21" t="s">
        <v>53</v>
      </c>
      <c r="S16" s="21" t="s">
        <v>54</v>
      </c>
      <c r="T16" s="21" t="s">
        <v>54</v>
      </c>
      <c r="U16" s="21" t="s">
        <v>53</v>
      </c>
      <c r="V16" s="21" t="s">
        <v>53</v>
      </c>
      <c r="W16" s="21" t="s">
        <v>53</v>
      </c>
      <c r="X16" s="21" t="s">
        <v>53</v>
      </c>
      <c r="Y16" s="21" t="s">
        <v>53</v>
      </c>
      <c r="Z16" s="21" t="s">
        <v>54</v>
      </c>
      <c r="AA16" s="21" t="s">
        <v>54</v>
      </c>
      <c r="AB16" s="21" t="s">
        <v>53</v>
      </c>
      <c r="AC16" s="21" t="s">
        <v>53</v>
      </c>
      <c r="AD16" s="21" t="s">
        <v>53</v>
      </c>
      <c r="AE16" s="21" t="s">
        <v>53</v>
      </c>
      <c r="AF16" s="21"/>
      <c r="AG16" s="21">
        <f t="shared" si="12"/>
        <v>21</v>
      </c>
      <c r="AH16" s="21">
        <f t="shared" si="13"/>
        <v>0</v>
      </c>
      <c r="AI16" s="21">
        <f t="shared" si="14"/>
        <v>0</v>
      </c>
      <c r="AJ16" s="21">
        <f t="shared" si="15"/>
        <v>0</v>
      </c>
      <c r="AK16" s="21">
        <f t="shared" si="6"/>
        <v>0</v>
      </c>
      <c r="AL16" s="21">
        <f t="shared" si="7"/>
        <v>0</v>
      </c>
      <c r="AM16" s="21">
        <f t="shared" si="8"/>
        <v>0</v>
      </c>
      <c r="AN16" s="21">
        <f t="shared" si="9"/>
        <v>1</v>
      </c>
      <c r="AO16" s="21">
        <f t="shared" si="16"/>
        <v>1</v>
      </c>
      <c r="AP16" s="21">
        <f t="shared" si="11"/>
        <v>0</v>
      </c>
    </row>
    <row r="17" spans="1:42" ht="14.5" x14ac:dyDescent="0.35">
      <c r="A17" s="21" t="s">
        <v>66</v>
      </c>
      <c r="B17" s="21" t="s">
        <v>67</v>
      </c>
      <c r="C17" s="21" t="s">
        <v>67</v>
      </c>
      <c r="D17" s="21" t="s">
        <v>67</v>
      </c>
      <c r="E17" s="21" t="s">
        <v>54</v>
      </c>
      <c r="F17" s="21" t="s">
        <v>54</v>
      </c>
      <c r="G17" s="21" t="s">
        <v>67</v>
      </c>
      <c r="H17" s="21" t="s">
        <v>67</v>
      </c>
      <c r="I17" s="21" t="s">
        <v>67</v>
      </c>
      <c r="J17" s="21" t="s">
        <v>67</v>
      </c>
      <c r="K17" s="21" t="s">
        <v>67</v>
      </c>
      <c r="L17" s="21" t="s">
        <v>54</v>
      </c>
      <c r="M17" s="21" t="s">
        <v>54</v>
      </c>
      <c r="N17" s="21" t="s">
        <v>67</v>
      </c>
      <c r="O17" s="21" t="s">
        <v>67</v>
      </c>
      <c r="P17" s="21" t="s">
        <v>67</v>
      </c>
      <c r="Q17" s="21" t="s">
        <v>67</v>
      </c>
      <c r="R17" s="21" t="s">
        <v>67</v>
      </c>
      <c r="S17" s="21" t="s">
        <v>54</v>
      </c>
      <c r="T17" s="21" t="s">
        <v>54</v>
      </c>
      <c r="U17" s="21" t="s">
        <v>67</v>
      </c>
      <c r="V17" s="21" t="s">
        <v>67</v>
      </c>
      <c r="W17" s="21" t="s">
        <v>67</v>
      </c>
      <c r="X17" s="21" t="s">
        <v>67</v>
      </c>
      <c r="Y17" s="21" t="s">
        <v>67</v>
      </c>
      <c r="Z17" s="21" t="s">
        <v>54</v>
      </c>
      <c r="AA17" s="21" t="s">
        <v>54</v>
      </c>
      <c r="AB17" s="21" t="s">
        <v>67</v>
      </c>
      <c r="AC17" s="21" t="s">
        <v>67</v>
      </c>
      <c r="AD17" s="21" t="s">
        <v>67</v>
      </c>
      <c r="AE17" s="21" t="s">
        <v>67</v>
      </c>
      <c r="AF17" s="26"/>
      <c r="AG17" s="21">
        <f t="shared" si="12"/>
        <v>0</v>
      </c>
      <c r="AH17" s="21">
        <f t="shared" si="13"/>
        <v>0</v>
      </c>
      <c r="AI17" s="21">
        <f t="shared" si="14"/>
        <v>0</v>
      </c>
      <c r="AJ17" s="21">
        <f t="shared" si="15"/>
        <v>0</v>
      </c>
      <c r="AK17" s="21">
        <f t="shared" si="6"/>
        <v>0</v>
      </c>
      <c r="AL17" s="21">
        <f t="shared" si="7"/>
        <v>0</v>
      </c>
      <c r="AM17" s="21">
        <f t="shared" si="8"/>
        <v>0</v>
      </c>
      <c r="AN17" s="21">
        <f t="shared" si="9"/>
        <v>0</v>
      </c>
      <c r="AO17" s="21">
        <f t="shared" si="16"/>
        <v>0</v>
      </c>
      <c r="AP17" s="21">
        <f t="shared" si="11"/>
        <v>0</v>
      </c>
    </row>
    <row r="18" spans="1:42" ht="14.5" x14ac:dyDescent="0.35">
      <c r="A18" s="21" t="s">
        <v>68</v>
      </c>
      <c r="B18" s="21" t="s">
        <v>56</v>
      </c>
      <c r="C18" s="21" t="s">
        <v>54</v>
      </c>
      <c r="D18" s="21" t="s">
        <v>54</v>
      </c>
      <c r="E18" s="21" t="s">
        <v>62</v>
      </c>
      <c r="F18" s="21" t="s">
        <v>19</v>
      </c>
      <c r="G18" s="21" t="s">
        <v>53</v>
      </c>
      <c r="H18" s="21" t="s">
        <v>53</v>
      </c>
      <c r="I18" s="21" t="s">
        <v>54</v>
      </c>
      <c r="J18" s="21" t="s">
        <v>53</v>
      </c>
      <c r="K18" s="21" t="s">
        <v>53</v>
      </c>
      <c r="L18" s="21" t="s">
        <v>53</v>
      </c>
      <c r="M18" s="21" t="s">
        <v>54</v>
      </c>
      <c r="N18" s="21" t="s">
        <v>53</v>
      </c>
      <c r="O18" s="21" t="s">
        <v>53</v>
      </c>
      <c r="P18" s="21" t="s">
        <v>53</v>
      </c>
      <c r="Q18" s="21" t="s">
        <v>53</v>
      </c>
      <c r="R18" s="21" t="s">
        <v>56</v>
      </c>
      <c r="S18" s="21" t="s">
        <v>54</v>
      </c>
      <c r="T18" s="21" t="s">
        <v>54</v>
      </c>
      <c r="U18" s="21" t="s">
        <v>53</v>
      </c>
      <c r="V18" s="21" t="s">
        <v>53</v>
      </c>
      <c r="W18" s="21" t="s">
        <v>53</v>
      </c>
      <c r="X18" s="21" t="s">
        <v>53</v>
      </c>
      <c r="Y18" s="21" t="s">
        <v>53</v>
      </c>
      <c r="Z18" s="21" t="s">
        <v>54</v>
      </c>
      <c r="AA18" s="21" t="s">
        <v>54</v>
      </c>
      <c r="AB18" s="21" t="s">
        <v>53</v>
      </c>
      <c r="AC18" s="21" t="s">
        <v>53</v>
      </c>
      <c r="AD18" s="21" t="s">
        <v>53</v>
      </c>
      <c r="AE18" s="21" t="s">
        <v>56</v>
      </c>
      <c r="AF18" s="21"/>
      <c r="AG18" s="21">
        <f t="shared" si="12"/>
        <v>21</v>
      </c>
      <c r="AH18" s="21">
        <f t="shared" si="13"/>
        <v>0</v>
      </c>
      <c r="AI18" s="21">
        <f t="shared" si="14"/>
        <v>1</v>
      </c>
      <c r="AJ18" s="21">
        <f t="shared" si="15"/>
        <v>0</v>
      </c>
      <c r="AK18" s="21">
        <f t="shared" si="6"/>
        <v>0</v>
      </c>
      <c r="AL18" s="21">
        <f t="shared" si="7"/>
        <v>1</v>
      </c>
      <c r="AM18" s="21">
        <f t="shared" si="8"/>
        <v>1</v>
      </c>
      <c r="AN18" s="21">
        <f t="shared" si="9"/>
        <v>0</v>
      </c>
      <c r="AO18" s="21">
        <f t="shared" si="16"/>
        <v>3</v>
      </c>
      <c r="AP18" s="21">
        <f t="shared" si="11"/>
        <v>1</v>
      </c>
    </row>
    <row r="19" spans="1:42" ht="14.5" x14ac:dyDescent="0.35">
      <c r="A19" s="21" t="s">
        <v>69</v>
      </c>
      <c r="B19" s="21" t="s">
        <v>54</v>
      </c>
      <c r="C19" s="21" t="s">
        <v>54</v>
      </c>
      <c r="D19" s="21" t="s">
        <v>16</v>
      </c>
      <c r="E19" s="21" t="s">
        <v>53</v>
      </c>
      <c r="F19" s="21" t="s">
        <v>56</v>
      </c>
      <c r="G19" s="21" t="s">
        <v>62</v>
      </c>
      <c r="H19" s="21" t="s">
        <v>54</v>
      </c>
      <c r="I19" s="21" t="s">
        <v>62</v>
      </c>
      <c r="J19" s="21" t="s">
        <v>54</v>
      </c>
      <c r="K19" s="21" t="s">
        <v>62</v>
      </c>
      <c r="L19" s="21" t="s">
        <v>62</v>
      </c>
      <c r="M19" s="21" t="s">
        <v>62</v>
      </c>
      <c r="N19" s="21" t="s">
        <v>19</v>
      </c>
      <c r="O19" s="21" t="s">
        <v>16</v>
      </c>
      <c r="P19" s="21" t="s">
        <v>16</v>
      </c>
      <c r="Q19" s="21" t="s">
        <v>16</v>
      </c>
      <c r="R19" s="21" t="s">
        <v>16</v>
      </c>
      <c r="S19" s="21" t="s">
        <v>54</v>
      </c>
      <c r="T19" s="21" t="s">
        <v>54</v>
      </c>
      <c r="U19" s="21" t="s">
        <v>53</v>
      </c>
      <c r="V19" s="21" t="s">
        <v>53</v>
      </c>
      <c r="W19" s="21" t="s">
        <v>53</v>
      </c>
      <c r="X19" s="21" t="s">
        <v>53</v>
      </c>
      <c r="Y19" s="21" t="s">
        <v>56</v>
      </c>
      <c r="Z19" s="21" t="s">
        <v>54</v>
      </c>
      <c r="AA19" s="21" t="s">
        <v>54</v>
      </c>
      <c r="AB19" s="21" t="s">
        <v>53</v>
      </c>
      <c r="AC19" s="21" t="s">
        <v>53</v>
      </c>
      <c r="AD19" s="21" t="s">
        <v>53</v>
      </c>
      <c r="AE19" s="21" t="s">
        <v>56</v>
      </c>
      <c r="AF19" s="21"/>
      <c r="AG19" s="21">
        <f t="shared" si="12"/>
        <v>16</v>
      </c>
      <c r="AH19" s="21">
        <f t="shared" si="13"/>
        <v>5</v>
      </c>
      <c r="AI19" s="21">
        <f t="shared" si="14"/>
        <v>1</v>
      </c>
      <c r="AJ19" s="21">
        <f t="shared" si="15"/>
        <v>0</v>
      </c>
      <c r="AK19" s="21">
        <f t="shared" si="6"/>
        <v>0</v>
      </c>
      <c r="AL19" s="21">
        <f t="shared" si="7"/>
        <v>2</v>
      </c>
      <c r="AM19" s="21">
        <f t="shared" si="8"/>
        <v>2</v>
      </c>
      <c r="AN19" s="21">
        <f t="shared" si="9"/>
        <v>0</v>
      </c>
      <c r="AO19" s="21">
        <f t="shared" si="16"/>
        <v>3</v>
      </c>
      <c r="AP19" s="21">
        <f t="shared" si="11"/>
        <v>5</v>
      </c>
    </row>
    <row r="20" spans="1:42" ht="14.5" hidden="1" x14ac:dyDescent="0.35">
      <c r="A20" s="22" t="s">
        <v>71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>
        <f t="shared" si="12"/>
        <v>0</v>
      </c>
      <c r="AH20" s="21">
        <f t="shared" si="13"/>
        <v>0</v>
      </c>
      <c r="AI20" s="21">
        <f t="shared" si="14"/>
        <v>0</v>
      </c>
      <c r="AJ20" s="21">
        <f t="shared" si="15"/>
        <v>0</v>
      </c>
      <c r="AK20" s="21">
        <f t="shared" si="6"/>
        <v>0</v>
      </c>
      <c r="AL20" s="21">
        <f t="shared" si="7"/>
        <v>0</v>
      </c>
      <c r="AM20" s="21">
        <f t="shared" si="8"/>
        <v>0</v>
      </c>
      <c r="AN20" s="21">
        <f t="shared" si="9"/>
        <v>0</v>
      </c>
      <c r="AO20" s="21">
        <f t="shared" si="16"/>
        <v>0</v>
      </c>
      <c r="AP20" s="21">
        <f t="shared" si="11"/>
        <v>0</v>
      </c>
    </row>
    <row r="21" spans="1:42" ht="14.5" x14ac:dyDescent="0.35">
      <c r="A21" s="21" t="s">
        <v>72</v>
      </c>
      <c r="B21" s="21" t="s">
        <v>54</v>
      </c>
      <c r="C21" s="21" t="s">
        <v>53</v>
      </c>
      <c r="D21" s="21" t="s">
        <v>56</v>
      </c>
      <c r="E21" s="21" t="s">
        <v>53</v>
      </c>
      <c r="F21" s="21" t="s">
        <v>53</v>
      </c>
      <c r="G21" s="21" t="s">
        <v>54</v>
      </c>
      <c r="H21" s="21" t="s">
        <v>53</v>
      </c>
      <c r="I21" s="21" t="s">
        <v>53</v>
      </c>
      <c r="J21" s="21" t="s">
        <v>53</v>
      </c>
      <c r="K21" s="21" t="s">
        <v>53</v>
      </c>
      <c r="L21" s="21" t="s">
        <v>56</v>
      </c>
      <c r="M21" s="21" t="s">
        <v>54</v>
      </c>
      <c r="N21" s="21" t="s">
        <v>53</v>
      </c>
      <c r="O21" s="21" t="s">
        <v>53</v>
      </c>
      <c r="P21" s="21" t="s">
        <v>56</v>
      </c>
      <c r="Q21" s="21" t="s">
        <v>53</v>
      </c>
      <c r="R21" s="21" t="s">
        <v>53</v>
      </c>
      <c r="S21" s="21" t="s">
        <v>54</v>
      </c>
      <c r="T21" s="21" t="s">
        <v>54</v>
      </c>
      <c r="U21" s="21" t="s">
        <v>53</v>
      </c>
      <c r="V21" s="21" t="s">
        <v>53</v>
      </c>
      <c r="W21" s="21" t="s">
        <v>53</v>
      </c>
      <c r="X21" s="21" t="s">
        <v>53</v>
      </c>
      <c r="Y21" s="21" t="s">
        <v>53</v>
      </c>
      <c r="Z21" s="21" t="s">
        <v>54</v>
      </c>
      <c r="AA21" s="21" t="s">
        <v>54</v>
      </c>
      <c r="AB21" s="21" t="s">
        <v>53</v>
      </c>
      <c r="AC21" s="21" t="s">
        <v>53</v>
      </c>
      <c r="AD21" s="21" t="s">
        <v>56</v>
      </c>
      <c r="AE21" s="21" t="s">
        <v>22</v>
      </c>
      <c r="AF21" s="21"/>
      <c r="AG21" s="21">
        <f t="shared" si="12"/>
        <v>22.5</v>
      </c>
      <c r="AH21" s="21">
        <f t="shared" si="13"/>
        <v>0</v>
      </c>
      <c r="AI21" s="21">
        <f t="shared" si="14"/>
        <v>0.5</v>
      </c>
      <c r="AJ21" s="21">
        <f t="shared" si="15"/>
        <v>0</v>
      </c>
      <c r="AK21" s="21">
        <f t="shared" si="6"/>
        <v>0</v>
      </c>
      <c r="AL21" s="21">
        <f t="shared" si="7"/>
        <v>2</v>
      </c>
      <c r="AM21" s="21">
        <f t="shared" si="8"/>
        <v>2</v>
      </c>
      <c r="AN21" s="21">
        <f t="shared" si="9"/>
        <v>0</v>
      </c>
      <c r="AO21" s="21">
        <f t="shared" si="16"/>
        <v>4</v>
      </c>
      <c r="AP21" s="21">
        <f t="shared" si="11"/>
        <v>0</v>
      </c>
    </row>
    <row r="22" spans="1:42" ht="14.5" x14ac:dyDescent="0.35">
      <c r="A22" s="21" t="s">
        <v>73</v>
      </c>
      <c r="B22" s="21" t="s">
        <v>56</v>
      </c>
      <c r="C22" s="21" t="s">
        <v>56</v>
      </c>
      <c r="D22" s="21" t="s">
        <v>56</v>
      </c>
      <c r="E22" s="21" t="s">
        <v>56</v>
      </c>
      <c r="F22" s="21" t="s">
        <v>53</v>
      </c>
      <c r="G22" s="21" t="s">
        <v>54</v>
      </c>
      <c r="H22" s="21" t="s">
        <v>56</v>
      </c>
      <c r="I22" s="21" t="s">
        <v>56</v>
      </c>
      <c r="J22" s="21" t="s">
        <v>56</v>
      </c>
      <c r="K22" s="21" t="s">
        <v>53</v>
      </c>
      <c r="L22" s="21" t="s">
        <v>53</v>
      </c>
      <c r="M22" s="21" t="s">
        <v>54</v>
      </c>
      <c r="N22" s="21" t="s">
        <v>53</v>
      </c>
      <c r="O22" s="21" t="s">
        <v>53</v>
      </c>
      <c r="P22" s="21" t="s">
        <v>53</v>
      </c>
      <c r="Q22" s="21" t="s">
        <v>56</v>
      </c>
      <c r="R22" s="21" t="s">
        <v>56</v>
      </c>
      <c r="S22" s="21" t="s">
        <v>54</v>
      </c>
      <c r="T22" s="21" t="s">
        <v>54</v>
      </c>
      <c r="U22" s="21" t="s">
        <v>53</v>
      </c>
      <c r="V22" s="21" t="s">
        <v>53</v>
      </c>
      <c r="W22" s="21" t="s">
        <v>53</v>
      </c>
      <c r="X22" s="21" t="s">
        <v>53</v>
      </c>
      <c r="Y22" s="21" t="s">
        <v>53</v>
      </c>
      <c r="Z22" s="21" t="s">
        <v>54</v>
      </c>
      <c r="AA22" s="21" t="s">
        <v>54</v>
      </c>
      <c r="AB22" s="21" t="s">
        <v>56</v>
      </c>
      <c r="AC22" s="21" t="s">
        <v>56</v>
      </c>
      <c r="AD22" s="21" t="s">
        <v>56</v>
      </c>
      <c r="AE22" s="21" t="s">
        <v>56</v>
      </c>
      <c r="AF22" s="21"/>
      <c r="AG22" s="21">
        <f t="shared" si="12"/>
        <v>24</v>
      </c>
      <c r="AH22" s="21">
        <f t="shared" si="13"/>
        <v>0</v>
      </c>
      <c r="AI22" s="21">
        <f t="shared" si="14"/>
        <v>0</v>
      </c>
      <c r="AJ22" s="21">
        <f t="shared" si="15"/>
        <v>0</v>
      </c>
      <c r="AK22" s="21">
        <f t="shared" si="6"/>
        <v>0</v>
      </c>
      <c r="AL22" s="21">
        <f t="shared" si="7"/>
        <v>2</v>
      </c>
      <c r="AM22" s="21">
        <f t="shared" si="8"/>
        <v>2</v>
      </c>
      <c r="AN22" s="21">
        <f t="shared" si="9"/>
        <v>0</v>
      </c>
      <c r="AO22" s="21">
        <f t="shared" si="16"/>
        <v>13</v>
      </c>
      <c r="AP22" s="21">
        <f t="shared" si="11"/>
        <v>0</v>
      </c>
    </row>
    <row r="23" spans="1:42" ht="14.5" x14ac:dyDescent="0.35">
      <c r="A23" s="21" t="s">
        <v>74</v>
      </c>
      <c r="B23" s="21" t="s">
        <v>53</v>
      </c>
      <c r="C23" s="21" t="s">
        <v>53</v>
      </c>
      <c r="D23" s="21" t="s">
        <v>53</v>
      </c>
      <c r="E23" s="21" t="s">
        <v>53</v>
      </c>
      <c r="F23" s="21" t="s">
        <v>53</v>
      </c>
      <c r="G23" s="21" t="s">
        <v>56</v>
      </c>
      <c r="H23" s="21" t="s">
        <v>54</v>
      </c>
      <c r="I23" s="21" t="s">
        <v>54</v>
      </c>
      <c r="J23" s="21" t="s">
        <v>53</v>
      </c>
      <c r="K23" s="21" t="s">
        <v>56</v>
      </c>
      <c r="L23" s="21" t="s">
        <v>56</v>
      </c>
      <c r="M23" s="21" t="s">
        <v>53</v>
      </c>
      <c r="N23" s="21" t="s">
        <v>53</v>
      </c>
      <c r="O23" s="21" t="s">
        <v>54</v>
      </c>
      <c r="P23" s="21" t="s">
        <v>54</v>
      </c>
      <c r="Q23" s="21" t="s">
        <v>56</v>
      </c>
      <c r="R23" s="21" t="s">
        <v>19</v>
      </c>
      <c r="S23" s="21" t="s">
        <v>53</v>
      </c>
      <c r="T23" s="21" t="s">
        <v>53</v>
      </c>
      <c r="U23" s="21" t="s">
        <v>56</v>
      </c>
      <c r="V23" s="21" t="s">
        <v>54</v>
      </c>
      <c r="W23" s="21" t="s">
        <v>54</v>
      </c>
      <c r="X23" s="21" t="s">
        <v>56</v>
      </c>
      <c r="Y23" s="21" t="s">
        <v>56</v>
      </c>
      <c r="Z23" s="21" t="s">
        <v>53</v>
      </c>
      <c r="AA23" s="21" t="s">
        <v>53</v>
      </c>
      <c r="AB23" s="21" t="s">
        <v>56</v>
      </c>
      <c r="AC23" s="21" t="s">
        <v>54</v>
      </c>
      <c r="AD23" s="21" t="s">
        <v>54</v>
      </c>
      <c r="AE23" s="21" t="s">
        <v>56</v>
      </c>
      <c r="AF23" s="21"/>
      <c r="AG23" s="21">
        <f t="shared" si="12"/>
        <v>21</v>
      </c>
      <c r="AH23" s="21">
        <f t="shared" si="13"/>
        <v>0</v>
      </c>
      <c r="AI23" s="21">
        <f t="shared" si="14"/>
        <v>1</v>
      </c>
      <c r="AJ23" s="21">
        <f t="shared" si="15"/>
        <v>0</v>
      </c>
      <c r="AK23" s="21">
        <f t="shared" si="6"/>
        <v>0</v>
      </c>
      <c r="AL23" s="21">
        <f t="shared" si="7"/>
        <v>1</v>
      </c>
      <c r="AM23" s="21">
        <f t="shared" si="8"/>
        <v>1</v>
      </c>
      <c r="AN23" s="21">
        <f t="shared" si="9"/>
        <v>0</v>
      </c>
      <c r="AO23" s="21">
        <f t="shared" si="16"/>
        <v>9</v>
      </c>
      <c r="AP23" s="21">
        <f t="shared" si="11"/>
        <v>0</v>
      </c>
    </row>
    <row r="24" spans="1:42" ht="14.5" x14ac:dyDescent="0.35">
      <c r="A24" s="21" t="s">
        <v>75</v>
      </c>
      <c r="B24" s="21" t="s">
        <v>53</v>
      </c>
      <c r="C24" s="21" t="s">
        <v>53</v>
      </c>
      <c r="D24" s="21" t="s">
        <v>4</v>
      </c>
      <c r="E24" s="21" t="s">
        <v>54</v>
      </c>
      <c r="F24" s="21" t="s">
        <v>54</v>
      </c>
      <c r="G24" s="21" t="s">
        <v>53</v>
      </c>
      <c r="H24" s="21" t="s">
        <v>53</v>
      </c>
      <c r="I24" s="21" t="s">
        <v>54</v>
      </c>
      <c r="J24" s="21" t="s">
        <v>54</v>
      </c>
      <c r="K24" s="21" t="s">
        <v>16</v>
      </c>
      <c r="L24" s="21" t="s">
        <v>16</v>
      </c>
      <c r="M24" s="21" t="s">
        <v>53</v>
      </c>
      <c r="N24" s="21" t="s">
        <v>53</v>
      </c>
      <c r="O24" s="21" t="s">
        <v>4</v>
      </c>
      <c r="P24" s="21" t="s">
        <v>54</v>
      </c>
      <c r="Q24" s="21" t="s">
        <v>54</v>
      </c>
      <c r="R24" s="21" t="s">
        <v>53</v>
      </c>
      <c r="S24" s="21" t="s">
        <v>53</v>
      </c>
      <c r="T24" s="21" t="s">
        <v>53</v>
      </c>
      <c r="U24" s="21" t="s">
        <v>53</v>
      </c>
      <c r="V24" s="21" t="s">
        <v>53</v>
      </c>
      <c r="W24" s="21" t="s">
        <v>54</v>
      </c>
      <c r="X24" s="21" t="s">
        <v>54</v>
      </c>
      <c r="Y24" s="21" t="s">
        <v>53</v>
      </c>
      <c r="Z24" s="21" t="s">
        <v>62</v>
      </c>
      <c r="AA24" s="21" t="s">
        <v>62</v>
      </c>
      <c r="AB24" s="21" t="s">
        <v>53</v>
      </c>
      <c r="AC24" s="21" t="s">
        <v>54</v>
      </c>
      <c r="AD24" s="21" t="s">
        <v>54</v>
      </c>
      <c r="AE24" s="21" t="s">
        <v>53</v>
      </c>
      <c r="AF24" s="21"/>
      <c r="AG24" s="21">
        <f t="shared" si="12"/>
        <v>16</v>
      </c>
      <c r="AH24" s="21">
        <f t="shared" si="13"/>
        <v>2</v>
      </c>
      <c r="AI24" s="21">
        <f t="shared" si="14"/>
        <v>0</v>
      </c>
      <c r="AJ24" s="21">
        <f t="shared" si="15"/>
        <v>0</v>
      </c>
      <c r="AK24" s="21">
        <f t="shared" si="6"/>
        <v>0</v>
      </c>
      <c r="AL24" s="21">
        <f t="shared" si="7"/>
        <v>0</v>
      </c>
      <c r="AM24" s="21">
        <f t="shared" si="8"/>
        <v>0</v>
      </c>
      <c r="AN24" s="21">
        <f t="shared" si="9"/>
        <v>2</v>
      </c>
      <c r="AO24" s="21">
        <f t="shared" si="16"/>
        <v>0</v>
      </c>
      <c r="AP24" s="21">
        <f t="shared" si="11"/>
        <v>2</v>
      </c>
    </row>
    <row r="25" spans="1:42" ht="14.5" x14ac:dyDescent="0.35">
      <c r="A25" s="21" t="s">
        <v>76</v>
      </c>
      <c r="B25" s="21" t="s">
        <v>53</v>
      </c>
      <c r="C25" s="21" t="s">
        <v>53</v>
      </c>
      <c r="D25" s="21" t="s">
        <v>53</v>
      </c>
      <c r="E25" s="21" t="s">
        <v>54</v>
      </c>
      <c r="F25" s="21" t="s">
        <v>54</v>
      </c>
      <c r="G25" s="21" t="s">
        <v>54</v>
      </c>
      <c r="H25" s="21" t="s">
        <v>54</v>
      </c>
      <c r="I25" s="21" t="s">
        <v>53</v>
      </c>
      <c r="J25" s="21" t="s">
        <v>53</v>
      </c>
      <c r="K25" s="21" t="s">
        <v>53</v>
      </c>
      <c r="L25" s="21" t="s">
        <v>53</v>
      </c>
      <c r="M25" s="21" t="s">
        <v>53</v>
      </c>
      <c r="N25" s="21" t="s">
        <v>54</v>
      </c>
      <c r="O25" s="21" t="s">
        <v>54</v>
      </c>
      <c r="P25" s="21" t="s">
        <v>53</v>
      </c>
      <c r="Q25" s="21" t="s">
        <v>53</v>
      </c>
      <c r="R25" s="21" t="s">
        <v>53</v>
      </c>
      <c r="S25" s="21" t="s">
        <v>53</v>
      </c>
      <c r="T25" s="21" t="s">
        <v>53</v>
      </c>
      <c r="U25" s="21" t="s">
        <v>54</v>
      </c>
      <c r="V25" s="21" t="s">
        <v>54</v>
      </c>
      <c r="W25" s="21" t="s">
        <v>53</v>
      </c>
      <c r="X25" s="21" t="s">
        <v>53</v>
      </c>
      <c r="Y25" s="21" t="s">
        <v>19</v>
      </c>
      <c r="Z25" s="21" t="s">
        <v>53</v>
      </c>
      <c r="AA25" s="21" t="s">
        <v>53</v>
      </c>
      <c r="AB25" s="21" t="s">
        <v>54</v>
      </c>
      <c r="AC25" s="21" t="s">
        <v>54</v>
      </c>
      <c r="AD25" s="21" t="s">
        <v>53</v>
      </c>
      <c r="AE25" s="21" t="s">
        <v>53</v>
      </c>
      <c r="AF25" s="21"/>
      <c r="AG25" s="21">
        <f t="shared" si="12"/>
        <v>19</v>
      </c>
      <c r="AH25" s="21">
        <f t="shared" si="13"/>
        <v>0</v>
      </c>
      <c r="AI25" s="21">
        <f t="shared" si="14"/>
        <v>1</v>
      </c>
      <c r="AJ25" s="21">
        <f t="shared" si="15"/>
        <v>0</v>
      </c>
      <c r="AK25" s="21">
        <f t="shared" si="6"/>
        <v>0</v>
      </c>
      <c r="AL25" s="21">
        <f t="shared" si="7"/>
        <v>1</v>
      </c>
      <c r="AM25" s="21">
        <f t="shared" si="8"/>
        <v>1</v>
      </c>
      <c r="AN25" s="21">
        <f t="shared" si="9"/>
        <v>0</v>
      </c>
      <c r="AO25" s="21">
        <f t="shared" si="16"/>
        <v>0</v>
      </c>
      <c r="AP25" s="21">
        <f t="shared" si="11"/>
        <v>0</v>
      </c>
    </row>
    <row r="26" spans="1:42" ht="14.5" x14ac:dyDescent="0.35">
      <c r="A26" s="21" t="s">
        <v>77</v>
      </c>
      <c r="B26" s="21" t="s">
        <v>53</v>
      </c>
      <c r="C26" s="21" t="s">
        <v>19</v>
      </c>
      <c r="D26" s="21" t="s">
        <v>4</v>
      </c>
      <c r="E26" s="21" t="s">
        <v>54</v>
      </c>
      <c r="F26" s="21" t="s">
        <v>54</v>
      </c>
      <c r="G26" s="21" t="s">
        <v>53</v>
      </c>
      <c r="H26" s="21" t="s">
        <v>53</v>
      </c>
      <c r="I26" s="21" t="s">
        <v>54</v>
      </c>
      <c r="J26" s="21" t="s">
        <v>54</v>
      </c>
      <c r="K26" s="21" t="s">
        <v>53</v>
      </c>
      <c r="L26" s="21" t="s">
        <v>53</v>
      </c>
      <c r="M26" s="21" t="s">
        <v>62</v>
      </c>
      <c r="N26" s="21" t="s">
        <v>53</v>
      </c>
      <c r="O26" s="21" t="s">
        <v>53</v>
      </c>
      <c r="P26" s="21" t="s">
        <v>54</v>
      </c>
      <c r="Q26" s="21" t="s">
        <v>54</v>
      </c>
      <c r="R26" s="21" t="s">
        <v>53</v>
      </c>
      <c r="S26" s="21" t="s">
        <v>53</v>
      </c>
      <c r="T26" s="21" t="s">
        <v>53</v>
      </c>
      <c r="U26" s="21" t="s">
        <v>53</v>
      </c>
      <c r="V26" s="21" t="s">
        <v>53</v>
      </c>
      <c r="W26" s="21" t="s">
        <v>54</v>
      </c>
      <c r="X26" s="21" t="s">
        <v>54</v>
      </c>
      <c r="Y26" s="21" t="s">
        <v>16</v>
      </c>
      <c r="Z26" s="21" t="s">
        <v>16</v>
      </c>
      <c r="AA26" s="21" t="s">
        <v>16</v>
      </c>
      <c r="AB26" s="21" t="s">
        <v>16</v>
      </c>
      <c r="AC26" s="21" t="s">
        <v>16</v>
      </c>
      <c r="AD26" s="21" t="s">
        <v>54</v>
      </c>
      <c r="AE26" s="21" t="s">
        <v>54</v>
      </c>
      <c r="AF26" s="21"/>
      <c r="AG26" s="21">
        <f t="shared" si="12"/>
        <v>13</v>
      </c>
      <c r="AH26" s="21">
        <f t="shared" si="13"/>
        <v>5</v>
      </c>
      <c r="AI26" s="21">
        <f t="shared" si="14"/>
        <v>1</v>
      </c>
      <c r="AJ26" s="21">
        <f t="shared" si="15"/>
        <v>0</v>
      </c>
      <c r="AK26" s="21">
        <f t="shared" si="6"/>
        <v>0</v>
      </c>
      <c r="AL26" s="21">
        <f t="shared" si="7"/>
        <v>1</v>
      </c>
      <c r="AM26" s="21">
        <f t="shared" si="8"/>
        <v>1</v>
      </c>
      <c r="AN26" s="21">
        <f t="shared" si="9"/>
        <v>1</v>
      </c>
      <c r="AO26" s="21">
        <f t="shared" si="16"/>
        <v>0</v>
      </c>
      <c r="AP26" s="21">
        <f t="shared" si="11"/>
        <v>1</v>
      </c>
    </row>
    <row r="27" spans="1:42" ht="14.5" x14ac:dyDescent="0.35">
      <c r="A27" s="21" t="s">
        <v>78</v>
      </c>
      <c r="B27" s="21" t="s">
        <v>56</v>
      </c>
      <c r="C27" s="21" t="s">
        <v>53</v>
      </c>
      <c r="D27" s="21" t="s">
        <v>4</v>
      </c>
      <c r="E27" s="21" t="s">
        <v>54</v>
      </c>
      <c r="F27" s="21" t="s">
        <v>54</v>
      </c>
      <c r="G27" s="21" t="s">
        <v>53</v>
      </c>
      <c r="H27" s="21" t="s">
        <v>53</v>
      </c>
      <c r="I27" s="21" t="s">
        <v>19</v>
      </c>
      <c r="J27" s="21" t="s">
        <v>53</v>
      </c>
      <c r="K27" s="21" t="s">
        <v>53</v>
      </c>
      <c r="L27" s="21" t="s">
        <v>54</v>
      </c>
      <c r="M27" s="21" t="s">
        <v>54</v>
      </c>
      <c r="N27" s="21" t="s">
        <v>53</v>
      </c>
      <c r="O27" s="21" t="s">
        <v>56</v>
      </c>
      <c r="P27" s="21" t="s">
        <v>19</v>
      </c>
      <c r="Q27" s="21" t="s">
        <v>53</v>
      </c>
      <c r="R27" s="21" t="s">
        <v>56</v>
      </c>
      <c r="S27" s="21" t="s">
        <v>54</v>
      </c>
      <c r="T27" s="21" t="s">
        <v>54</v>
      </c>
      <c r="U27" s="21" t="s">
        <v>56</v>
      </c>
      <c r="V27" s="21" t="s">
        <v>53</v>
      </c>
      <c r="W27" s="21" t="s">
        <v>53</v>
      </c>
      <c r="X27" s="21" t="s">
        <v>53</v>
      </c>
      <c r="Y27" s="21" t="s">
        <v>53</v>
      </c>
      <c r="Z27" s="21" t="s">
        <v>54</v>
      </c>
      <c r="AA27" s="21" t="s">
        <v>54</v>
      </c>
      <c r="AB27" s="21" t="s">
        <v>53</v>
      </c>
      <c r="AC27" s="21" t="s">
        <v>53</v>
      </c>
      <c r="AD27" s="21" t="s">
        <v>53</v>
      </c>
      <c r="AE27" s="21" t="s">
        <v>53</v>
      </c>
      <c r="AF27" s="21"/>
      <c r="AG27" s="21">
        <f t="shared" si="12"/>
        <v>19</v>
      </c>
      <c r="AH27" s="21">
        <f t="shared" si="13"/>
        <v>0</v>
      </c>
      <c r="AI27" s="21">
        <f t="shared" si="14"/>
        <v>2</v>
      </c>
      <c r="AJ27" s="21">
        <f t="shared" si="15"/>
        <v>0</v>
      </c>
      <c r="AK27" s="21">
        <f t="shared" si="6"/>
        <v>0</v>
      </c>
      <c r="AL27" s="21">
        <f t="shared" si="7"/>
        <v>1</v>
      </c>
      <c r="AM27" s="21">
        <f t="shared" si="8"/>
        <v>1</v>
      </c>
      <c r="AN27" s="21">
        <f t="shared" si="9"/>
        <v>1</v>
      </c>
      <c r="AO27" s="21">
        <f t="shared" si="16"/>
        <v>4</v>
      </c>
      <c r="AP27" s="21">
        <f t="shared" si="11"/>
        <v>0</v>
      </c>
    </row>
    <row r="28" spans="1:42" ht="14.5" x14ac:dyDescent="0.35">
      <c r="A28" s="21" t="s">
        <v>80</v>
      </c>
      <c r="B28" s="21" t="s">
        <v>53</v>
      </c>
      <c r="C28" s="21" t="s">
        <v>53</v>
      </c>
      <c r="D28" s="21" t="s">
        <v>4</v>
      </c>
      <c r="E28" s="21" t="s">
        <v>54</v>
      </c>
      <c r="F28" s="21" t="s">
        <v>54</v>
      </c>
      <c r="G28" s="21" t="s">
        <v>53</v>
      </c>
      <c r="H28" s="21" t="s">
        <v>53</v>
      </c>
      <c r="I28" s="21" t="s">
        <v>53</v>
      </c>
      <c r="J28" s="21" t="s">
        <v>53</v>
      </c>
      <c r="K28" s="21" t="s">
        <v>56</v>
      </c>
      <c r="L28" s="21" t="s">
        <v>54</v>
      </c>
      <c r="M28" s="21" t="s">
        <v>54</v>
      </c>
      <c r="N28" s="21" t="s">
        <v>53</v>
      </c>
      <c r="O28" s="21" t="s">
        <v>53</v>
      </c>
      <c r="P28" s="21" t="s">
        <v>56</v>
      </c>
      <c r="Q28" s="21" t="s">
        <v>56</v>
      </c>
      <c r="R28" s="21" t="s">
        <v>53</v>
      </c>
      <c r="S28" s="21" t="s">
        <v>54</v>
      </c>
      <c r="T28" s="21" t="s">
        <v>54</v>
      </c>
      <c r="U28" s="21" t="s">
        <v>53</v>
      </c>
      <c r="V28" s="21" t="s">
        <v>19</v>
      </c>
      <c r="W28" s="21" t="s">
        <v>19</v>
      </c>
      <c r="X28" s="21" t="s">
        <v>53</v>
      </c>
      <c r="Y28" s="21" t="s">
        <v>53</v>
      </c>
      <c r="Z28" s="21" t="s">
        <v>54</v>
      </c>
      <c r="AA28" s="21" t="s">
        <v>54</v>
      </c>
      <c r="AB28" s="21" t="s">
        <v>53</v>
      </c>
      <c r="AC28" s="21" t="s">
        <v>53</v>
      </c>
      <c r="AD28" s="21" t="s">
        <v>53</v>
      </c>
      <c r="AE28" s="21" t="s">
        <v>16</v>
      </c>
      <c r="AF28" s="21"/>
      <c r="AG28" s="21">
        <f t="shared" si="12"/>
        <v>18</v>
      </c>
      <c r="AH28" s="21">
        <f t="shared" si="13"/>
        <v>1</v>
      </c>
      <c r="AI28" s="21">
        <f t="shared" si="14"/>
        <v>2</v>
      </c>
      <c r="AJ28" s="21">
        <f t="shared" si="15"/>
        <v>0</v>
      </c>
      <c r="AK28" s="21">
        <f t="shared" si="6"/>
        <v>0</v>
      </c>
      <c r="AL28" s="21">
        <f t="shared" si="7"/>
        <v>1</v>
      </c>
      <c r="AM28" s="21">
        <f t="shared" si="8"/>
        <v>1</v>
      </c>
      <c r="AN28" s="21">
        <f t="shared" si="9"/>
        <v>1</v>
      </c>
      <c r="AO28" s="21">
        <f t="shared" si="16"/>
        <v>3</v>
      </c>
      <c r="AP28" s="21">
        <f t="shared" si="11"/>
        <v>0</v>
      </c>
    </row>
    <row r="29" spans="1:42" ht="14.5" hidden="1" x14ac:dyDescent="0.35">
      <c r="A29" s="22" t="s">
        <v>81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>
        <f t="shared" si="12"/>
        <v>0</v>
      </c>
      <c r="AH29" s="21">
        <f t="shared" si="13"/>
        <v>0</v>
      </c>
      <c r="AI29" s="21">
        <f t="shared" si="14"/>
        <v>0</v>
      </c>
      <c r="AJ29" s="21">
        <f t="shared" si="15"/>
        <v>0</v>
      </c>
      <c r="AK29" s="21">
        <f t="shared" si="6"/>
        <v>0</v>
      </c>
      <c r="AL29" s="21">
        <f t="shared" si="7"/>
        <v>0</v>
      </c>
      <c r="AM29" s="21">
        <f t="shared" si="8"/>
        <v>0</v>
      </c>
      <c r="AN29" s="21">
        <f t="shared" si="9"/>
        <v>0</v>
      </c>
      <c r="AO29" s="21">
        <f t="shared" si="16"/>
        <v>0</v>
      </c>
      <c r="AP29" s="21">
        <f t="shared" si="11"/>
        <v>0</v>
      </c>
    </row>
    <row r="30" spans="1:42" ht="14.5" x14ac:dyDescent="0.35">
      <c r="A30" s="21" t="s">
        <v>82</v>
      </c>
      <c r="B30" s="21" t="s">
        <v>53</v>
      </c>
      <c r="C30" s="21" t="s">
        <v>56</v>
      </c>
      <c r="D30" s="21" t="s">
        <v>4</v>
      </c>
      <c r="E30" s="21" t="s">
        <v>54</v>
      </c>
      <c r="F30" s="21" t="s">
        <v>54</v>
      </c>
      <c r="G30" s="21" t="s">
        <v>53</v>
      </c>
      <c r="H30" s="21" t="s">
        <v>53</v>
      </c>
      <c r="I30" s="21" t="s">
        <v>53</v>
      </c>
      <c r="J30" s="21" t="s">
        <v>53</v>
      </c>
      <c r="K30" s="21" t="s">
        <v>53</v>
      </c>
      <c r="L30" s="21" t="s">
        <v>54</v>
      </c>
      <c r="M30" s="21" t="s">
        <v>54</v>
      </c>
      <c r="N30" s="21" t="s">
        <v>56</v>
      </c>
      <c r="O30" s="21" t="s">
        <v>53</v>
      </c>
      <c r="P30" s="21" t="s">
        <v>56</v>
      </c>
      <c r="Q30" s="21" t="s">
        <v>56</v>
      </c>
      <c r="R30" s="21" t="s">
        <v>16</v>
      </c>
      <c r="S30" s="21" t="s">
        <v>54</v>
      </c>
      <c r="T30" s="21" t="s">
        <v>54</v>
      </c>
      <c r="U30" s="21" t="s">
        <v>56</v>
      </c>
      <c r="V30" s="21" t="s">
        <v>56</v>
      </c>
      <c r="W30" s="21" t="s">
        <v>53</v>
      </c>
      <c r="X30" s="21" t="s">
        <v>53</v>
      </c>
      <c r="Y30" s="21" t="s">
        <v>56</v>
      </c>
      <c r="Z30" s="21" t="s">
        <v>54</v>
      </c>
      <c r="AA30" s="21" t="s">
        <v>54</v>
      </c>
      <c r="AB30" s="21" t="s">
        <v>53</v>
      </c>
      <c r="AC30" s="21" t="s">
        <v>56</v>
      </c>
      <c r="AD30" s="21" t="s">
        <v>62</v>
      </c>
      <c r="AE30" s="21" t="s">
        <v>56</v>
      </c>
      <c r="AF30" s="21"/>
      <c r="AG30" s="21">
        <f t="shared" si="12"/>
        <v>20</v>
      </c>
      <c r="AH30" s="21">
        <f t="shared" si="13"/>
        <v>1</v>
      </c>
      <c r="AI30" s="21">
        <f t="shared" si="14"/>
        <v>0</v>
      </c>
      <c r="AJ30" s="21">
        <f t="shared" si="15"/>
        <v>0</v>
      </c>
      <c r="AK30" s="21">
        <f t="shared" si="6"/>
        <v>0</v>
      </c>
      <c r="AL30" s="21">
        <f t="shared" si="7"/>
        <v>1</v>
      </c>
      <c r="AM30" s="21">
        <f t="shared" si="8"/>
        <v>1</v>
      </c>
      <c r="AN30" s="21">
        <f t="shared" si="9"/>
        <v>1</v>
      </c>
      <c r="AO30" s="21">
        <f t="shared" si="16"/>
        <v>9</v>
      </c>
      <c r="AP30" s="21">
        <f t="shared" si="11"/>
        <v>1</v>
      </c>
    </row>
    <row r="31" spans="1:42" ht="14.5" x14ac:dyDescent="0.35">
      <c r="A31" s="21" t="s">
        <v>83</v>
      </c>
      <c r="B31" s="21" t="s">
        <v>54</v>
      </c>
      <c r="C31" s="21" t="s">
        <v>56</v>
      </c>
      <c r="D31" s="21" t="s">
        <v>53</v>
      </c>
      <c r="E31" s="21" t="s">
        <v>53</v>
      </c>
      <c r="F31" s="21" t="s">
        <v>53</v>
      </c>
      <c r="G31" s="21" t="s">
        <v>54</v>
      </c>
      <c r="H31" s="21" t="s">
        <v>53</v>
      </c>
      <c r="I31" s="21" t="s">
        <v>53</v>
      </c>
      <c r="J31" s="21" t="s">
        <v>53</v>
      </c>
      <c r="K31" s="21" t="s">
        <v>53</v>
      </c>
      <c r="L31" s="21" t="s">
        <v>54</v>
      </c>
      <c r="M31" s="21" t="s">
        <v>53</v>
      </c>
      <c r="N31" s="21" t="s">
        <v>53</v>
      </c>
      <c r="O31" s="21" t="s">
        <v>53</v>
      </c>
      <c r="P31" s="21" t="s">
        <v>53</v>
      </c>
      <c r="Q31" s="21" t="s">
        <v>53</v>
      </c>
      <c r="R31" s="21" t="s">
        <v>53</v>
      </c>
      <c r="S31" s="21" t="s">
        <v>54</v>
      </c>
      <c r="T31" s="21" t="s">
        <v>54</v>
      </c>
      <c r="U31" s="21" t="s">
        <v>53</v>
      </c>
      <c r="V31" s="21" t="s">
        <v>53</v>
      </c>
      <c r="W31" s="21" t="s">
        <v>53</v>
      </c>
      <c r="X31" s="21" t="s">
        <v>53</v>
      </c>
      <c r="Y31" s="21" t="s">
        <v>53</v>
      </c>
      <c r="Z31" s="21" t="s">
        <v>54</v>
      </c>
      <c r="AA31" s="21" t="s">
        <v>54</v>
      </c>
      <c r="AB31" s="21" t="s">
        <v>53</v>
      </c>
      <c r="AC31" s="21" t="s">
        <v>53</v>
      </c>
      <c r="AD31" s="21" t="s">
        <v>53</v>
      </c>
      <c r="AE31" s="21" t="s">
        <v>53</v>
      </c>
      <c r="AF31" s="21"/>
      <c r="AG31" s="21">
        <f t="shared" si="12"/>
        <v>23</v>
      </c>
      <c r="AH31" s="21">
        <f t="shared" si="13"/>
        <v>0</v>
      </c>
      <c r="AI31" s="21">
        <f t="shared" si="14"/>
        <v>0</v>
      </c>
      <c r="AJ31" s="21">
        <f t="shared" si="15"/>
        <v>0</v>
      </c>
      <c r="AK31" s="21">
        <f t="shared" si="6"/>
        <v>0</v>
      </c>
      <c r="AL31" s="21">
        <f t="shared" si="7"/>
        <v>2</v>
      </c>
      <c r="AM31" s="21">
        <f t="shared" si="8"/>
        <v>2</v>
      </c>
      <c r="AN31" s="21">
        <f t="shared" si="9"/>
        <v>0</v>
      </c>
      <c r="AO31" s="21">
        <f t="shared" si="16"/>
        <v>1</v>
      </c>
      <c r="AP31" s="21">
        <f t="shared" si="11"/>
        <v>0</v>
      </c>
    </row>
    <row r="32" spans="1:42" ht="14.5" x14ac:dyDescent="0.35">
      <c r="A32" s="21" t="s">
        <v>84</v>
      </c>
      <c r="B32" s="21" t="s">
        <v>53</v>
      </c>
      <c r="C32" s="21" t="s">
        <v>53</v>
      </c>
      <c r="D32" s="21" t="s">
        <v>53</v>
      </c>
      <c r="E32" s="21" t="s">
        <v>54</v>
      </c>
      <c r="F32" s="21" t="s">
        <v>54</v>
      </c>
      <c r="G32" s="21" t="s">
        <v>53</v>
      </c>
      <c r="H32" s="21" t="s">
        <v>53</v>
      </c>
      <c r="I32" s="21" t="s">
        <v>53</v>
      </c>
      <c r="J32" s="21" t="s">
        <v>54</v>
      </c>
      <c r="K32" s="21" t="s">
        <v>54</v>
      </c>
      <c r="L32" s="21" t="s">
        <v>53</v>
      </c>
      <c r="M32" s="21" t="s">
        <v>53</v>
      </c>
      <c r="N32" s="21" t="s">
        <v>53</v>
      </c>
      <c r="O32" s="21" t="s">
        <v>53</v>
      </c>
      <c r="P32" s="21" t="s">
        <v>53</v>
      </c>
      <c r="Q32" s="21" t="s">
        <v>54</v>
      </c>
      <c r="R32" s="21" t="s">
        <v>54</v>
      </c>
      <c r="S32" s="21" t="s">
        <v>53</v>
      </c>
      <c r="T32" s="21" t="s">
        <v>53</v>
      </c>
      <c r="U32" s="21" t="s">
        <v>53</v>
      </c>
      <c r="V32" s="21" t="s">
        <v>53</v>
      </c>
      <c r="W32" s="21" t="s">
        <v>53</v>
      </c>
      <c r="X32" s="21" t="s">
        <v>54</v>
      </c>
      <c r="Y32" s="21" t="s">
        <v>54</v>
      </c>
      <c r="Z32" s="21" t="s">
        <v>53</v>
      </c>
      <c r="AA32" s="21" t="s">
        <v>53</v>
      </c>
      <c r="AB32" s="21" t="s">
        <v>53</v>
      </c>
      <c r="AC32" s="21" t="s">
        <v>53</v>
      </c>
      <c r="AD32" s="21" t="s">
        <v>53</v>
      </c>
      <c r="AE32" s="21" t="s">
        <v>54</v>
      </c>
      <c r="AF32" s="21"/>
      <c r="AG32" s="21">
        <f t="shared" si="12"/>
        <v>21</v>
      </c>
      <c r="AH32" s="21">
        <f t="shared" si="13"/>
        <v>0</v>
      </c>
      <c r="AI32" s="21">
        <f t="shared" si="14"/>
        <v>0</v>
      </c>
      <c r="AJ32" s="21">
        <f t="shared" si="15"/>
        <v>0</v>
      </c>
      <c r="AK32" s="21">
        <f t="shared" si="6"/>
        <v>0</v>
      </c>
      <c r="AL32" s="21">
        <f t="shared" si="7"/>
        <v>2</v>
      </c>
      <c r="AM32" s="21">
        <f t="shared" si="8"/>
        <v>2</v>
      </c>
      <c r="AN32" s="21">
        <f t="shared" si="9"/>
        <v>0</v>
      </c>
      <c r="AO32" s="21">
        <f t="shared" si="16"/>
        <v>0</v>
      </c>
      <c r="AP32" s="21">
        <f t="shared" si="11"/>
        <v>0</v>
      </c>
    </row>
    <row r="33" spans="1:42" ht="14.5" hidden="1" x14ac:dyDescent="0.35">
      <c r="A33" s="22" t="s">
        <v>85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>
        <f t="shared" si="12"/>
        <v>0</v>
      </c>
      <c r="AH33" s="21">
        <f t="shared" si="13"/>
        <v>0</v>
      </c>
      <c r="AI33" s="21">
        <f t="shared" si="14"/>
        <v>0</v>
      </c>
      <c r="AJ33" s="21">
        <f t="shared" si="15"/>
        <v>0</v>
      </c>
      <c r="AK33" s="21">
        <f t="shared" si="6"/>
        <v>0</v>
      </c>
      <c r="AL33" s="21">
        <f t="shared" si="7"/>
        <v>0</v>
      </c>
      <c r="AM33" s="21">
        <f t="shared" si="8"/>
        <v>0</v>
      </c>
      <c r="AN33" s="21">
        <f t="shared" si="9"/>
        <v>0</v>
      </c>
      <c r="AO33" s="21">
        <f t="shared" si="16"/>
        <v>0</v>
      </c>
      <c r="AP33" s="21">
        <f t="shared" si="11"/>
        <v>0</v>
      </c>
    </row>
    <row r="34" spans="1:42" ht="14.5" hidden="1" x14ac:dyDescent="0.35">
      <c r="A34" s="22" t="s">
        <v>86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>
        <f t="shared" si="12"/>
        <v>0</v>
      </c>
      <c r="AH34" s="21">
        <f t="shared" si="13"/>
        <v>0</v>
      </c>
      <c r="AI34" s="21">
        <f t="shared" si="14"/>
        <v>0</v>
      </c>
      <c r="AJ34" s="21">
        <f t="shared" si="15"/>
        <v>0</v>
      </c>
      <c r="AK34" s="21">
        <f t="shared" si="6"/>
        <v>0</v>
      </c>
      <c r="AL34" s="21">
        <f t="shared" si="7"/>
        <v>0</v>
      </c>
      <c r="AM34" s="21">
        <f t="shared" si="8"/>
        <v>0</v>
      </c>
      <c r="AN34" s="21">
        <f t="shared" si="9"/>
        <v>0</v>
      </c>
      <c r="AO34" s="21">
        <f t="shared" si="16"/>
        <v>0</v>
      </c>
      <c r="AP34" s="21">
        <f t="shared" si="11"/>
        <v>0</v>
      </c>
    </row>
    <row r="35" spans="1:42" ht="14.5" x14ac:dyDescent="0.35">
      <c r="A35" s="21" t="s">
        <v>87</v>
      </c>
      <c r="B35" s="21" t="s">
        <v>56</v>
      </c>
      <c r="C35" s="21" t="s">
        <v>53</v>
      </c>
      <c r="D35" s="21" t="s">
        <v>4</v>
      </c>
      <c r="E35" s="21" t="s">
        <v>54</v>
      </c>
      <c r="F35" s="21" t="s">
        <v>54</v>
      </c>
      <c r="G35" s="21" t="s">
        <v>53</v>
      </c>
      <c r="H35" s="21" t="s">
        <v>53</v>
      </c>
      <c r="I35" s="21" t="s">
        <v>53</v>
      </c>
      <c r="J35" s="21" t="s">
        <v>53</v>
      </c>
      <c r="K35" s="21" t="s">
        <v>19</v>
      </c>
      <c r="L35" s="21" t="s">
        <v>54</v>
      </c>
      <c r="M35" s="21" t="s">
        <v>54</v>
      </c>
      <c r="N35" s="21" t="s">
        <v>53</v>
      </c>
      <c r="O35" s="21" t="s">
        <v>4</v>
      </c>
      <c r="P35" s="21" t="s">
        <v>56</v>
      </c>
      <c r="Q35" s="21" t="s">
        <v>53</v>
      </c>
      <c r="R35" s="21" t="s">
        <v>56</v>
      </c>
      <c r="S35" s="21" t="s">
        <v>54</v>
      </c>
      <c r="T35" s="21" t="s">
        <v>54</v>
      </c>
      <c r="U35" s="21" t="s">
        <v>56</v>
      </c>
      <c r="V35" s="21" t="s">
        <v>53</v>
      </c>
      <c r="W35" s="21" t="s">
        <v>53</v>
      </c>
      <c r="X35" s="21" t="s">
        <v>16</v>
      </c>
      <c r="Y35" s="21" t="s">
        <v>53</v>
      </c>
      <c r="Z35" s="21" t="s">
        <v>54</v>
      </c>
      <c r="AA35" s="21" t="s">
        <v>54</v>
      </c>
      <c r="AB35" s="21" t="s">
        <v>53</v>
      </c>
      <c r="AC35" s="21" t="s">
        <v>53</v>
      </c>
      <c r="AD35" s="21" t="s">
        <v>53</v>
      </c>
      <c r="AE35" s="21" t="s">
        <v>56</v>
      </c>
      <c r="AF35" s="21"/>
      <c r="AG35" s="21">
        <f t="shared" si="12"/>
        <v>18</v>
      </c>
      <c r="AH35" s="21">
        <f t="shared" si="13"/>
        <v>1</v>
      </c>
      <c r="AI35" s="21">
        <f t="shared" si="14"/>
        <v>1</v>
      </c>
      <c r="AJ35" s="21">
        <f t="shared" si="15"/>
        <v>0</v>
      </c>
      <c r="AK35" s="21">
        <f t="shared" si="6"/>
        <v>0</v>
      </c>
      <c r="AL35" s="21">
        <f t="shared" si="7"/>
        <v>0</v>
      </c>
      <c r="AM35" s="21">
        <f t="shared" si="8"/>
        <v>0</v>
      </c>
      <c r="AN35" s="21">
        <f t="shared" si="9"/>
        <v>2</v>
      </c>
      <c r="AO35" s="21">
        <f t="shared" si="16"/>
        <v>5</v>
      </c>
      <c r="AP35" s="21">
        <f t="shared" si="11"/>
        <v>0</v>
      </c>
    </row>
    <row r="36" spans="1:42" ht="14.5" x14ac:dyDescent="0.35">
      <c r="A36" s="21" t="s">
        <v>88</v>
      </c>
      <c r="B36" s="21" t="s">
        <v>53</v>
      </c>
      <c r="C36" s="21" t="s">
        <v>53</v>
      </c>
      <c r="D36" s="21" t="s">
        <v>53</v>
      </c>
      <c r="E36" s="21" t="s">
        <v>54</v>
      </c>
      <c r="F36" s="21" t="s">
        <v>54</v>
      </c>
      <c r="G36" s="21" t="s">
        <v>56</v>
      </c>
      <c r="H36" s="21" t="s">
        <v>56</v>
      </c>
      <c r="I36" s="21" t="s">
        <v>56</v>
      </c>
      <c r="J36" s="21" t="s">
        <v>56</v>
      </c>
      <c r="K36" s="21" t="s">
        <v>56</v>
      </c>
      <c r="L36" s="21" t="s">
        <v>54</v>
      </c>
      <c r="M36" s="21" t="s">
        <v>54</v>
      </c>
      <c r="N36" s="21" t="s">
        <v>56</v>
      </c>
      <c r="O36" s="21" t="s">
        <v>53</v>
      </c>
      <c r="P36" s="21" t="s">
        <v>56</v>
      </c>
      <c r="Q36" s="21" t="s">
        <v>56</v>
      </c>
      <c r="R36" s="21" t="s">
        <v>56</v>
      </c>
      <c r="S36" s="21" t="s">
        <v>54</v>
      </c>
      <c r="T36" s="21" t="s">
        <v>54</v>
      </c>
      <c r="U36" s="21" t="s">
        <v>53</v>
      </c>
      <c r="V36" s="21" t="s">
        <v>56</v>
      </c>
      <c r="W36" s="21" t="s">
        <v>56</v>
      </c>
      <c r="X36" s="21" t="s">
        <v>56</v>
      </c>
      <c r="Y36" s="21" t="s">
        <v>56</v>
      </c>
      <c r="Z36" s="21" t="s">
        <v>54</v>
      </c>
      <c r="AA36" s="21" t="s">
        <v>54</v>
      </c>
      <c r="AB36" s="21" t="s">
        <v>56</v>
      </c>
      <c r="AC36" s="21" t="s">
        <v>56</v>
      </c>
      <c r="AD36" s="21" t="s">
        <v>56</v>
      </c>
      <c r="AE36" s="21" t="s">
        <v>56</v>
      </c>
      <c r="AF36" s="21"/>
      <c r="AG36" s="21">
        <f t="shared" si="12"/>
        <v>22</v>
      </c>
      <c r="AH36" s="21">
        <f t="shared" si="13"/>
        <v>0</v>
      </c>
      <c r="AI36" s="21">
        <f t="shared" si="14"/>
        <v>0</v>
      </c>
      <c r="AJ36" s="21">
        <f t="shared" si="15"/>
        <v>0</v>
      </c>
      <c r="AK36" s="21">
        <f t="shared" si="6"/>
        <v>0</v>
      </c>
      <c r="AL36" s="21">
        <f t="shared" si="7"/>
        <v>2</v>
      </c>
      <c r="AM36" s="21">
        <f t="shared" si="8"/>
        <v>2</v>
      </c>
      <c r="AN36" s="21">
        <f t="shared" si="9"/>
        <v>0</v>
      </c>
      <c r="AO36" s="21">
        <f t="shared" si="16"/>
        <v>17</v>
      </c>
      <c r="AP36" s="21">
        <f t="shared" si="11"/>
        <v>0</v>
      </c>
    </row>
    <row r="37" spans="1:42" ht="14.5" x14ac:dyDescent="0.35">
      <c r="A37" s="21" t="s">
        <v>89</v>
      </c>
      <c r="B37" s="21" t="s">
        <v>53</v>
      </c>
      <c r="C37" s="21" t="s">
        <v>53</v>
      </c>
      <c r="D37" s="21" t="s">
        <v>53</v>
      </c>
      <c r="E37" s="21" t="s">
        <v>54</v>
      </c>
      <c r="F37" s="21" t="s">
        <v>54</v>
      </c>
      <c r="G37" s="21" t="s">
        <v>53</v>
      </c>
      <c r="H37" s="21" t="s">
        <v>53</v>
      </c>
      <c r="I37" s="21" t="s">
        <v>53</v>
      </c>
      <c r="J37" s="21" t="s">
        <v>53</v>
      </c>
      <c r="K37" s="21" t="s">
        <v>53</v>
      </c>
      <c r="L37" s="21" t="s">
        <v>54</v>
      </c>
      <c r="M37" s="21" t="s">
        <v>54</v>
      </c>
      <c r="N37" s="21" t="s">
        <v>19</v>
      </c>
      <c r="O37" s="21" t="s">
        <v>19</v>
      </c>
      <c r="P37" s="21" t="s">
        <v>53</v>
      </c>
      <c r="Q37" s="21" t="s">
        <v>53</v>
      </c>
      <c r="R37" s="21" t="s">
        <v>53</v>
      </c>
      <c r="S37" s="21" t="s">
        <v>54</v>
      </c>
      <c r="T37" s="21" t="s">
        <v>54</v>
      </c>
      <c r="U37" s="21" t="s">
        <v>56</v>
      </c>
      <c r="V37" s="21" t="s">
        <v>56</v>
      </c>
      <c r="W37" s="21" t="s">
        <v>53</v>
      </c>
      <c r="X37" s="21" t="s">
        <v>53</v>
      </c>
      <c r="Y37" s="21" t="s">
        <v>53</v>
      </c>
      <c r="Z37" s="21" t="s">
        <v>54</v>
      </c>
      <c r="AA37" s="21" t="s">
        <v>54</v>
      </c>
      <c r="AB37" s="21" t="s">
        <v>56</v>
      </c>
      <c r="AC37" s="21" t="s">
        <v>53</v>
      </c>
      <c r="AD37" s="21" t="s">
        <v>53</v>
      </c>
      <c r="AE37" s="21" t="s">
        <v>53</v>
      </c>
      <c r="AF37" s="21"/>
      <c r="AG37" s="21">
        <f t="shared" si="12"/>
        <v>20</v>
      </c>
      <c r="AH37" s="21">
        <f t="shared" si="13"/>
        <v>0</v>
      </c>
      <c r="AI37" s="21">
        <f t="shared" si="14"/>
        <v>2</v>
      </c>
      <c r="AJ37" s="21">
        <f t="shared" si="15"/>
        <v>0</v>
      </c>
      <c r="AK37" s="21">
        <f t="shared" si="6"/>
        <v>0</v>
      </c>
      <c r="AL37" s="21">
        <f t="shared" si="7"/>
        <v>1</v>
      </c>
      <c r="AM37" s="21">
        <f t="shared" si="8"/>
        <v>1</v>
      </c>
      <c r="AN37" s="21">
        <f t="shared" si="9"/>
        <v>0</v>
      </c>
      <c r="AO37" s="21">
        <f t="shared" si="16"/>
        <v>3</v>
      </c>
      <c r="AP37" s="21">
        <f t="shared" si="11"/>
        <v>0</v>
      </c>
    </row>
    <row r="38" spans="1:42" ht="14.5" x14ac:dyDescent="0.35">
      <c r="A38" s="21" t="s">
        <v>90</v>
      </c>
      <c r="B38" s="21" t="s">
        <v>53</v>
      </c>
      <c r="C38" s="21" t="s">
        <v>53</v>
      </c>
      <c r="D38" s="21" t="s">
        <v>62</v>
      </c>
      <c r="E38" s="21" t="s">
        <v>54</v>
      </c>
      <c r="F38" s="21" t="s">
        <v>54</v>
      </c>
      <c r="G38" s="21" t="s">
        <v>53</v>
      </c>
      <c r="H38" s="21" t="s">
        <v>53</v>
      </c>
      <c r="I38" s="21" t="s">
        <v>53</v>
      </c>
      <c r="J38" s="21" t="s">
        <v>56</v>
      </c>
      <c r="K38" s="21" t="s">
        <v>56</v>
      </c>
      <c r="L38" s="21" t="s">
        <v>54</v>
      </c>
      <c r="M38" s="21" t="s">
        <v>54</v>
      </c>
      <c r="N38" s="21" t="s">
        <v>16</v>
      </c>
      <c r="O38" s="21" t="s">
        <v>4</v>
      </c>
      <c r="P38" s="21" t="s">
        <v>53</v>
      </c>
      <c r="Q38" s="21" t="s">
        <v>56</v>
      </c>
      <c r="R38" s="21" t="s">
        <v>56</v>
      </c>
      <c r="S38" s="21" t="s">
        <v>54</v>
      </c>
      <c r="T38" s="21" t="s">
        <v>54</v>
      </c>
      <c r="U38" s="21" t="s">
        <v>62</v>
      </c>
      <c r="V38" s="21" t="s">
        <v>62</v>
      </c>
      <c r="W38" s="21" t="s">
        <v>62</v>
      </c>
      <c r="X38" s="21" t="s">
        <v>53</v>
      </c>
      <c r="Y38" s="21" t="s">
        <v>53</v>
      </c>
      <c r="Z38" s="21" t="s">
        <v>54</v>
      </c>
      <c r="AA38" s="21" t="s">
        <v>54</v>
      </c>
      <c r="AB38" s="21" t="s">
        <v>56</v>
      </c>
      <c r="AC38" s="21" t="s">
        <v>53</v>
      </c>
      <c r="AD38" s="21" t="s">
        <v>53</v>
      </c>
      <c r="AE38" s="21" t="s">
        <v>53</v>
      </c>
      <c r="AF38" s="21"/>
      <c r="AG38" s="21">
        <f t="shared" si="12"/>
        <v>20</v>
      </c>
      <c r="AH38" s="21">
        <f t="shared" si="13"/>
        <v>1</v>
      </c>
      <c r="AI38" s="21">
        <f t="shared" si="14"/>
        <v>0</v>
      </c>
      <c r="AJ38" s="21">
        <f t="shared" si="15"/>
        <v>0</v>
      </c>
      <c r="AK38" s="21">
        <f t="shared" si="6"/>
        <v>0</v>
      </c>
      <c r="AL38" s="21">
        <f t="shared" si="7"/>
        <v>1</v>
      </c>
      <c r="AM38" s="21">
        <f t="shared" si="8"/>
        <v>1</v>
      </c>
      <c r="AN38" s="21">
        <f t="shared" si="9"/>
        <v>1</v>
      </c>
      <c r="AO38" s="21">
        <f t="shared" si="16"/>
        <v>5</v>
      </c>
      <c r="AP38" s="21">
        <f t="shared" si="11"/>
        <v>4</v>
      </c>
    </row>
    <row r="39" spans="1:42" ht="14.5" x14ac:dyDescent="0.35">
      <c r="A39" s="21" t="s">
        <v>91</v>
      </c>
      <c r="B39" s="21" t="s">
        <v>53</v>
      </c>
      <c r="C39" s="21" t="s">
        <v>53</v>
      </c>
      <c r="D39" s="21" t="s">
        <v>53</v>
      </c>
      <c r="E39" s="21" t="s">
        <v>54</v>
      </c>
      <c r="F39" s="21" t="s">
        <v>54</v>
      </c>
      <c r="G39" s="21" t="s">
        <v>53</v>
      </c>
      <c r="H39" s="21" t="s">
        <v>53</v>
      </c>
      <c r="I39" s="21" t="s">
        <v>53</v>
      </c>
      <c r="J39" s="21" t="s">
        <v>53</v>
      </c>
      <c r="K39" s="21" t="s">
        <v>53</v>
      </c>
      <c r="L39" s="21" t="s">
        <v>54</v>
      </c>
      <c r="M39" s="21" t="s">
        <v>54</v>
      </c>
      <c r="N39" s="21" t="s">
        <v>53</v>
      </c>
      <c r="O39" s="21" t="s">
        <v>53</v>
      </c>
      <c r="P39" s="21" t="s">
        <v>53</v>
      </c>
      <c r="Q39" s="21" t="s">
        <v>53</v>
      </c>
      <c r="R39" s="21" t="s">
        <v>53</v>
      </c>
      <c r="S39" s="21" t="s">
        <v>54</v>
      </c>
      <c r="T39" s="21" t="s">
        <v>54</v>
      </c>
      <c r="U39" s="21" t="s">
        <v>53</v>
      </c>
      <c r="V39" s="21" t="s">
        <v>53</v>
      </c>
      <c r="W39" s="21" t="s">
        <v>53</v>
      </c>
      <c r="X39" s="21" t="s">
        <v>53</v>
      </c>
      <c r="Y39" s="21" t="s">
        <v>53</v>
      </c>
      <c r="Z39" s="21" t="s">
        <v>54</v>
      </c>
      <c r="AA39" s="21" t="s">
        <v>54</v>
      </c>
      <c r="AB39" s="21" t="s">
        <v>53</v>
      </c>
      <c r="AC39" s="21" t="s">
        <v>53</v>
      </c>
      <c r="AD39" s="21" t="s">
        <v>53</v>
      </c>
      <c r="AE39" s="21" t="s">
        <v>53</v>
      </c>
      <c r="AF39" s="21"/>
      <c r="AG39" s="21">
        <f t="shared" si="12"/>
        <v>22</v>
      </c>
      <c r="AH39" s="21">
        <f t="shared" si="13"/>
        <v>0</v>
      </c>
      <c r="AI39" s="21">
        <f t="shared" si="14"/>
        <v>0</v>
      </c>
      <c r="AJ39" s="21">
        <f t="shared" si="15"/>
        <v>0</v>
      </c>
      <c r="AK39" s="21">
        <f t="shared" si="6"/>
        <v>0</v>
      </c>
      <c r="AL39" s="21">
        <f t="shared" si="7"/>
        <v>2</v>
      </c>
      <c r="AM39" s="21">
        <f t="shared" si="8"/>
        <v>2</v>
      </c>
      <c r="AN39" s="21">
        <f t="shared" si="9"/>
        <v>0</v>
      </c>
      <c r="AO39" s="21">
        <f t="shared" si="16"/>
        <v>0</v>
      </c>
      <c r="AP39" s="21">
        <f t="shared" si="11"/>
        <v>0</v>
      </c>
    </row>
    <row r="40" spans="1:42" ht="14.5" x14ac:dyDescent="0.35">
      <c r="A40" s="23" t="s">
        <v>92</v>
      </c>
      <c r="B40" s="21" t="s">
        <v>95</v>
      </c>
      <c r="C40" s="21" t="s">
        <v>53</v>
      </c>
      <c r="D40" s="21" t="s">
        <v>96</v>
      </c>
      <c r="E40" s="21" t="s">
        <v>54</v>
      </c>
      <c r="F40" s="21" t="s">
        <v>54</v>
      </c>
      <c r="G40" s="21" t="s">
        <v>53</v>
      </c>
      <c r="H40" s="21" t="s">
        <v>53</v>
      </c>
      <c r="I40" s="21" t="s">
        <v>53</v>
      </c>
      <c r="J40" s="21" t="s">
        <v>53</v>
      </c>
      <c r="K40" s="21" t="s">
        <v>53</v>
      </c>
      <c r="L40" s="21" t="s">
        <v>54</v>
      </c>
      <c r="M40" s="21" t="s">
        <v>54</v>
      </c>
      <c r="N40" s="21" t="s">
        <v>53</v>
      </c>
      <c r="O40" s="21" t="s">
        <v>53</v>
      </c>
      <c r="P40" s="21" t="s">
        <v>53</v>
      </c>
      <c r="Q40" s="21" t="s">
        <v>53</v>
      </c>
      <c r="R40" s="21" t="s">
        <v>53</v>
      </c>
      <c r="S40" s="21" t="s">
        <v>54</v>
      </c>
      <c r="T40" s="21" t="s">
        <v>54</v>
      </c>
      <c r="U40" s="21" t="s">
        <v>53</v>
      </c>
      <c r="V40" s="21" t="s">
        <v>53</v>
      </c>
      <c r="W40" s="21" t="s">
        <v>53</v>
      </c>
      <c r="X40" s="21" t="s">
        <v>53</v>
      </c>
      <c r="Y40" s="21" t="s">
        <v>53</v>
      </c>
      <c r="Z40" s="21" t="s">
        <v>54</v>
      </c>
      <c r="AA40" s="21" t="s">
        <v>54</v>
      </c>
      <c r="AB40" s="21" t="s">
        <v>53</v>
      </c>
      <c r="AC40" s="21" t="s">
        <v>53</v>
      </c>
      <c r="AD40" s="21" t="s">
        <v>53</v>
      </c>
      <c r="AE40" s="21" t="s">
        <v>53</v>
      </c>
      <c r="AF40" s="21"/>
      <c r="AG40" s="21">
        <f t="shared" si="12"/>
        <v>20</v>
      </c>
      <c r="AH40" s="21">
        <f t="shared" si="13"/>
        <v>0</v>
      </c>
      <c r="AI40" s="21">
        <f t="shared" si="14"/>
        <v>0</v>
      </c>
      <c r="AJ40" s="21">
        <f t="shared" si="15"/>
        <v>1</v>
      </c>
      <c r="AK40" s="21">
        <f t="shared" si="6"/>
        <v>0</v>
      </c>
      <c r="AL40" s="21">
        <f t="shared" si="7"/>
        <v>1</v>
      </c>
      <c r="AM40" s="21">
        <f t="shared" si="8"/>
        <v>1</v>
      </c>
      <c r="AN40" s="21">
        <f t="shared" si="9"/>
        <v>0</v>
      </c>
      <c r="AO40" s="21">
        <f t="shared" si="16"/>
        <v>0</v>
      </c>
      <c r="AP40" s="21">
        <f t="shared" si="11"/>
        <v>0</v>
      </c>
    </row>
    <row r="41" spans="1:42" ht="14.5" x14ac:dyDescent="0.35">
      <c r="A41" s="1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14"/>
      <c r="AH41" s="14"/>
      <c r="AI41" s="14"/>
      <c r="AJ41" s="14"/>
      <c r="AK41" s="14"/>
      <c r="AL41" s="14"/>
      <c r="AM41" s="14"/>
      <c r="AN41" s="14"/>
      <c r="AO41" s="14"/>
      <c r="AP41" s="14"/>
    </row>
    <row r="42" spans="1:42" ht="14.5" x14ac:dyDescent="0.35">
      <c r="A42" s="1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14"/>
      <c r="AH42" s="14"/>
      <c r="AI42" s="14"/>
      <c r="AJ42" s="14"/>
      <c r="AK42" s="14"/>
      <c r="AL42" s="14"/>
      <c r="AM42" s="14"/>
      <c r="AN42" s="14"/>
      <c r="AO42" s="14"/>
      <c r="AP42" s="14"/>
    </row>
    <row r="43" spans="1:42" ht="14.5" x14ac:dyDescent="0.35">
      <c r="A43" s="1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14"/>
      <c r="AH43" s="14"/>
      <c r="AI43" s="14"/>
      <c r="AJ43" s="14"/>
      <c r="AK43" s="14"/>
      <c r="AL43" s="14"/>
      <c r="AM43" s="14"/>
      <c r="AN43" s="14"/>
      <c r="AO43" s="14"/>
      <c r="AP43" s="14"/>
    </row>
    <row r="44" spans="1:42" ht="14.5" x14ac:dyDescent="0.35">
      <c r="A44" s="1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14"/>
      <c r="AH44" s="14"/>
      <c r="AI44" s="14"/>
      <c r="AJ44" s="14"/>
      <c r="AK44" s="14"/>
      <c r="AL44" s="14"/>
      <c r="AM44" s="14"/>
      <c r="AN44" s="14"/>
      <c r="AO44" s="14"/>
      <c r="AP44" s="14"/>
    </row>
    <row r="45" spans="1:42" ht="14.5" x14ac:dyDescent="0.35">
      <c r="A45" s="1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14"/>
      <c r="AH45" s="14"/>
      <c r="AI45" s="14"/>
      <c r="AJ45" s="14"/>
      <c r="AK45" s="14"/>
      <c r="AL45" s="14"/>
      <c r="AM45" s="14"/>
      <c r="AN45" s="14"/>
      <c r="AO45" s="14"/>
      <c r="AP45" s="14"/>
    </row>
    <row r="46" spans="1:42" ht="14.5" x14ac:dyDescent="0.35">
      <c r="A46" s="1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14"/>
      <c r="AH46" s="14"/>
      <c r="AI46" s="14"/>
      <c r="AJ46" s="14"/>
      <c r="AK46" s="14"/>
      <c r="AL46" s="14"/>
      <c r="AM46" s="14"/>
      <c r="AN46" s="14"/>
      <c r="AO46" s="14"/>
      <c r="AP46" s="14"/>
    </row>
    <row r="47" spans="1:42" ht="14.5" x14ac:dyDescent="0.35">
      <c r="A47" s="1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14"/>
      <c r="AH47" s="14"/>
      <c r="AI47" s="14"/>
      <c r="AJ47" s="14"/>
      <c r="AK47" s="14"/>
      <c r="AL47" s="14"/>
      <c r="AM47" s="14"/>
      <c r="AN47" s="14"/>
      <c r="AO47" s="14"/>
      <c r="AP47" s="14"/>
    </row>
    <row r="48" spans="1:42" ht="14.5" x14ac:dyDescent="0.35">
      <c r="A48" s="1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14"/>
      <c r="AH48" s="14"/>
      <c r="AI48" s="14"/>
      <c r="AJ48" s="14"/>
      <c r="AK48" s="14"/>
      <c r="AL48" s="14"/>
      <c r="AM48" s="14"/>
      <c r="AN48" s="14"/>
      <c r="AO48" s="14"/>
      <c r="AP48" s="14"/>
    </row>
    <row r="49" spans="1:42" ht="14.5" x14ac:dyDescent="0.35">
      <c r="A49" s="1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14"/>
      <c r="AH49" s="14"/>
      <c r="AI49" s="14"/>
      <c r="AJ49" s="14"/>
      <c r="AK49" s="14"/>
      <c r="AL49" s="14"/>
      <c r="AM49" s="14"/>
      <c r="AN49" s="14"/>
      <c r="AO49" s="14"/>
      <c r="AP49" s="14"/>
    </row>
    <row r="50" spans="1:42" ht="14.5" x14ac:dyDescent="0.35">
      <c r="A50" s="1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14"/>
      <c r="AH50" s="14"/>
      <c r="AI50" s="14"/>
      <c r="AJ50" s="14"/>
      <c r="AK50" s="14"/>
      <c r="AL50" s="14"/>
      <c r="AM50" s="14"/>
      <c r="AN50" s="14"/>
      <c r="AO50" s="14"/>
      <c r="AP50" s="14"/>
    </row>
    <row r="51" spans="1:42" ht="14.5" x14ac:dyDescent="0.35">
      <c r="A51" s="1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14"/>
      <c r="AH51" s="14"/>
      <c r="AI51" s="14"/>
      <c r="AJ51" s="14"/>
      <c r="AK51" s="14"/>
      <c r="AL51" s="14"/>
      <c r="AM51" s="14"/>
      <c r="AN51" s="14"/>
      <c r="AO51" s="14"/>
      <c r="AP51" s="14"/>
    </row>
    <row r="52" spans="1:42" ht="14.5" x14ac:dyDescent="0.35">
      <c r="A52" s="1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14"/>
      <c r="AH52" s="14"/>
      <c r="AI52" s="14"/>
      <c r="AJ52" s="14"/>
      <c r="AK52" s="14"/>
      <c r="AL52" s="14"/>
      <c r="AM52" s="14"/>
      <c r="AN52" s="14"/>
      <c r="AO52" s="14"/>
      <c r="AP52" s="14"/>
    </row>
    <row r="53" spans="1:42" ht="14.5" x14ac:dyDescent="0.35">
      <c r="A53" s="1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14"/>
      <c r="AH53" s="14"/>
      <c r="AI53" s="14"/>
      <c r="AJ53" s="14"/>
      <c r="AK53" s="14"/>
      <c r="AL53" s="14"/>
      <c r="AM53" s="14"/>
      <c r="AN53" s="14"/>
      <c r="AO53" s="14"/>
      <c r="AP53" s="14"/>
    </row>
    <row r="54" spans="1:42" ht="14.5" x14ac:dyDescent="0.35">
      <c r="A54" s="1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14"/>
      <c r="AH54" s="14"/>
      <c r="AI54" s="14"/>
      <c r="AJ54" s="14"/>
      <c r="AK54" s="14"/>
      <c r="AL54" s="14"/>
      <c r="AM54" s="14"/>
      <c r="AN54" s="14"/>
      <c r="AO54" s="14"/>
      <c r="AP54" s="14"/>
    </row>
    <row r="55" spans="1:42" ht="14.5" x14ac:dyDescent="0.35">
      <c r="A55" s="1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14"/>
      <c r="AH55" s="14"/>
      <c r="AI55" s="14"/>
      <c r="AJ55" s="14"/>
      <c r="AK55" s="14"/>
      <c r="AL55" s="14"/>
      <c r="AM55" s="14"/>
      <c r="AN55" s="14"/>
      <c r="AO55" s="14"/>
      <c r="AP55" s="14"/>
    </row>
    <row r="56" spans="1:42" ht="14.5" x14ac:dyDescent="0.35">
      <c r="A56" s="1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14"/>
      <c r="AH56" s="14"/>
      <c r="AI56" s="14"/>
      <c r="AJ56" s="14"/>
      <c r="AK56" s="14"/>
      <c r="AL56" s="14"/>
      <c r="AM56" s="14"/>
      <c r="AN56" s="14"/>
      <c r="AO56" s="14"/>
      <c r="AP56" s="14"/>
    </row>
    <row r="57" spans="1:42" ht="14.5" x14ac:dyDescent="0.35">
      <c r="A57" s="1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14"/>
      <c r="AH57" s="14"/>
      <c r="AI57" s="14"/>
      <c r="AJ57" s="14"/>
      <c r="AK57" s="14"/>
      <c r="AL57" s="14"/>
      <c r="AM57" s="14"/>
      <c r="AN57" s="14"/>
      <c r="AO57" s="14"/>
      <c r="AP57" s="14"/>
    </row>
    <row r="58" spans="1:42" ht="14.5" x14ac:dyDescent="0.35">
      <c r="A58" s="1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14"/>
      <c r="AH58" s="14"/>
      <c r="AI58" s="14"/>
      <c r="AJ58" s="14"/>
      <c r="AK58" s="14"/>
      <c r="AL58" s="14"/>
      <c r="AM58" s="14"/>
      <c r="AN58" s="14"/>
      <c r="AO58" s="14"/>
      <c r="AP58" s="14"/>
    </row>
    <row r="59" spans="1:42" ht="14.5" x14ac:dyDescent="0.35">
      <c r="A59" s="1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14"/>
      <c r="AH59" s="14"/>
      <c r="AI59" s="14"/>
      <c r="AJ59" s="14"/>
      <c r="AK59" s="14"/>
      <c r="AL59" s="14"/>
      <c r="AM59" s="14"/>
      <c r="AN59" s="14"/>
      <c r="AO59" s="14"/>
      <c r="AP59" s="14"/>
    </row>
    <row r="60" spans="1:42" ht="14.5" x14ac:dyDescent="0.35">
      <c r="A60" s="1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14"/>
      <c r="AH60" s="14"/>
      <c r="AI60" s="14"/>
      <c r="AJ60" s="14"/>
      <c r="AK60" s="14"/>
      <c r="AL60" s="14"/>
      <c r="AM60" s="14"/>
      <c r="AN60" s="14"/>
      <c r="AO60" s="14"/>
      <c r="AP60" s="14"/>
    </row>
    <row r="61" spans="1:42" ht="14.5" x14ac:dyDescent="0.35">
      <c r="A61" s="1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14"/>
      <c r="AH61" s="14"/>
      <c r="AI61" s="14"/>
      <c r="AJ61" s="14"/>
      <c r="AK61" s="14"/>
      <c r="AL61" s="14"/>
      <c r="AM61" s="14"/>
      <c r="AN61" s="14"/>
      <c r="AO61" s="14"/>
      <c r="AP61" s="14"/>
    </row>
    <row r="62" spans="1:42" ht="14.5" x14ac:dyDescent="0.35">
      <c r="A62" s="1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14"/>
      <c r="AH62" s="14"/>
      <c r="AI62" s="14"/>
      <c r="AJ62" s="14"/>
      <c r="AK62" s="14"/>
      <c r="AL62" s="14"/>
      <c r="AM62" s="14"/>
      <c r="AN62" s="14"/>
      <c r="AO62" s="14"/>
      <c r="AP62" s="14"/>
    </row>
    <row r="63" spans="1:42" ht="14.5" x14ac:dyDescent="0.35">
      <c r="A63" s="1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14"/>
      <c r="AH63" s="14"/>
      <c r="AI63" s="14"/>
      <c r="AJ63" s="14"/>
      <c r="AK63" s="14"/>
      <c r="AL63" s="14"/>
      <c r="AM63" s="14"/>
      <c r="AN63" s="14"/>
      <c r="AO63" s="14"/>
      <c r="AP63" s="14"/>
    </row>
    <row r="64" spans="1:42" ht="14.5" x14ac:dyDescent="0.35">
      <c r="A64" s="1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14"/>
      <c r="AH64" s="14"/>
      <c r="AI64" s="14"/>
      <c r="AJ64" s="14"/>
      <c r="AK64" s="14"/>
      <c r="AL64" s="14"/>
      <c r="AM64" s="14"/>
      <c r="AN64" s="14"/>
      <c r="AO64" s="14"/>
      <c r="AP64" s="14"/>
    </row>
    <row r="65" spans="1:42" ht="14.5" x14ac:dyDescent="0.35">
      <c r="A65" s="1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14"/>
      <c r="AH65" s="14"/>
      <c r="AI65" s="14"/>
      <c r="AJ65" s="14"/>
      <c r="AK65" s="14"/>
      <c r="AL65" s="14"/>
      <c r="AM65" s="14"/>
      <c r="AN65" s="14"/>
      <c r="AO65" s="14"/>
      <c r="AP65" s="14"/>
    </row>
    <row r="66" spans="1:42" ht="14.5" x14ac:dyDescent="0.35">
      <c r="A66" s="1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14"/>
      <c r="AH66" s="14"/>
      <c r="AI66" s="14"/>
      <c r="AJ66" s="14"/>
      <c r="AK66" s="14"/>
      <c r="AL66" s="14"/>
      <c r="AM66" s="14"/>
      <c r="AN66" s="14"/>
      <c r="AO66" s="14"/>
      <c r="AP66" s="14"/>
    </row>
    <row r="67" spans="1:42" ht="14.5" x14ac:dyDescent="0.35">
      <c r="A67" s="1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14"/>
      <c r="AH67" s="14"/>
      <c r="AI67" s="14"/>
      <c r="AJ67" s="14"/>
      <c r="AK67" s="14"/>
      <c r="AL67" s="14"/>
      <c r="AM67" s="14"/>
      <c r="AN67" s="14"/>
      <c r="AO67" s="14"/>
      <c r="AP67" s="14"/>
    </row>
    <row r="68" spans="1:42" ht="14.5" x14ac:dyDescent="0.35">
      <c r="A68" s="1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14"/>
      <c r="AH68" s="14"/>
      <c r="AI68" s="14"/>
      <c r="AJ68" s="14"/>
      <c r="AK68" s="14"/>
      <c r="AL68" s="14"/>
      <c r="AM68" s="14"/>
      <c r="AN68" s="14"/>
      <c r="AO68" s="14"/>
      <c r="AP68" s="14"/>
    </row>
    <row r="69" spans="1:42" ht="14.5" x14ac:dyDescent="0.35">
      <c r="A69" s="1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14"/>
      <c r="AH69" s="14"/>
      <c r="AI69" s="14"/>
      <c r="AJ69" s="14"/>
      <c r="AK69" s="14"/>
      <c r="AL69" s="14"/>
      <c r="AM69" s="14"/>
      <c r="AN69" s="14"/>
      <c r="AO69" s="14"/>
      <c r="AP69" s="14"/>
    </row>
    <row r="70" spans="1:42" ht="14.5" x14ac:dyDescent="0.35">
      <c r="A70" s="1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14"/>
      <c r="AH70" s="14"/>
      <c r="AI70" s="14"/>
      <c r="AJ70" s="14"/>
      <c r="AK70" s="14"/>
      <c r="AL70" s="14"/>
      <c r="AM70" s="14"/>
      <c r="AN70" s="14"/>
      <c r="AO70" s="14"/>
      <c r="AP70" s="14"/>
    </row>
    <row r="71" spans="1:42" ht="14.5" x14ac:dyDescent="0.35">
      <c r="A71" s="1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14"/>
      <c r="AH71" s="14"/>
      <c r="AI71" s="14"/>
      <c r="AJ71" s="14"/>
      <c r="AK71" s="14"/>
      <c r="AL71" s="14"/>
      <c r="AM71" s="14"/>
      <c r="AN71" s="14"/>
      <c r="AO71" s="14"/>
      <c r="AP71" s="14"/>
    </row>
    <row r="72" spans="1:42" ht="14.5" x14ac:dyDescent="0.35">
      <c r="A72" s="1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14"/>
      <c r="AH72" s="14"/>
      <c r="AI72" s="14"/>
      <c r="AJ72" s="14"/>
      <c r="AK72" s="14"/>
      <c r="AL72" s="14"/>
      <c r="AM72" s="14"/>
      <c r="AN72" s="14"/>
      <c r="AO72" s="14"/>
      <c r="AP72" s="14"/>
    </row>
    <row r="73" spans="1:42" ht="14.5" x14ac:dyDescent="0.35">
      <c r="A73" s="1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14"/>
      <c r="AH73" s="14"/>
      <c r="AI73" s="14"/>
      <c r="AJ73" s="14"/>
      <c r="AK73" s="14"/>
      <c r="AL73" s="14"/>
      <c r="AM73" s="14"/>
      <c r="AN73" s="14"/>
      <c r="AO73" s="14"/>
      <c r="AP73" s="14"/>
    </row>
    <row r="74" spans="1:42" ht="14.5" x14ac:dyDescent="0.35">
      <c r="A74" s="1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14"/>
      <c r="AH74" s="14"/>
      <c r="AI74" s="14"/>
      <c r="AJ74" s="14"/>
      <c r="AK74" s="14"/>
      <c r="AL74" s="14"/>
      <c r="AM74" s="14"/>
      <c r="AN74" s="14"/>
      <c r="AO74" s="14"/>
      <c r="AP74" s="14"/>
    </row>
    <row r="75" spans="1:42" ht="14.5" x14ac:dyDescent="0.35">
      <c r="A75" s="1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14"/>
      <c r="AH75" s="14"/>
      <c r="AI75" s="14"/>
      <c r="AJ75" s="14"/>
      <c r="AK75" s="14"/>
      <c r="AL75" s="14"/>
      <c r="AM75" s="14"/>
      <c r="AN75" s="14"/>
      <c r="AO75" s="14"/>
      <c r="AP75" s="14"/>
    </row>
    <row r="76" spans="1:42" ht="14.5" x14ac:dyDescent="0.35">
      <c r="A76" s="1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14"/>
      <c r="AH76" s="14"/>
      <c r="AI76" s="14"/>
      <c r="AJ76" s="14"/>
      <c r="AK76" s="14"/>
      <c r="AL76" s="14"/>
      <c r="AM76" s="14"/>
      <c r="AN76" s="14"/>
      <c r="AO76" s="14"/>
      <c r="AP76" s="14"/>
    </row>
    <row r="77" spans="1:42" ht="14.5" x14ac:dyDescent="0.35">
      <c r="A77" s="1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14"/>
      <c r="AH77" s="14"/>
      <c r="AI77" s="14"/>
      <c r="AJ77" s="14"/>
      <c r="AK77" s="14"/>
      <c r="AL77" s="14"/>
      <c r="AM77" s="14"/>
      <c r="AN77" s="14"/>
      <c r="AO77" s="14"/>
      <c r="AP77" s="14"/>
    </row>
    <row r="78" spans="1:42" ht="14.5" x14ac:dyDescent="0.35">
      <c r="A78" s="1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14"/>
      <c r="AH78" s="14"/>
      <c r="AI78" s="14"/>
      <c r="AJ78" s="14"/>
      <c r="AK78" s="14"/>
      <c r="AL78" s="14"/>
      <c r="AM78" s="14"/>
      <c r="AN78" s="14"/>
      <c r="AO78" s="14"/>
      <c r="AP78" s="14"/>
    </row>
    <row r="79" spans="1:42" ht="14.5" x14ac:dyDescent="0.35">
      <c r="A79" s="1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14"/>
      <c r="AH79" s="14"/>
      <c r="AI79" s="14"/>
      <c r="AJ79" s="14"/>
      <c r="AK79" s="14"/>
      <c r="AL79" s="14"/>
      <c r="AM79" s="14"/>
      <c r="AN79" s="14"/>
      <c r="AO79" s="14"/>
      <c r="AP79" s="14"/>
    </row>
    <row r="80" spans="1:42" ht="14.5" x14ac:dyDescent="0.35">
      <c r="A80" s="1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14"/>
      <c r="AH80" s="14"/>
      <c r="AI80" s="14"/>
      <c r="AJ80" s="14"/>
      <c r="AK80" s="14"/>
      <c r="AL80" s="14"/>
      <c r="AM80" s="14"/>
      <c r="AN80" s="14"/>
      <c r="AO80" s="14"/>
      <c r="AP80" s="14"/>
    </row>
    <row r="81" spans="1:42" ht="14.5" x14ac:dyDescent="0.35">
      <c r="A81" s="1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14"/>
      <c r="AH81" s="14"/>
      <c r="AI81" s="14"/>
      <c r="AJ81" s="14"/>
      <c r="AK81" s="14"/>
      <c r="AL81" s="14"/>
      <c r="AM81" s="14"/>
      <c r="AN81" s="14"/>
      <c r="AO81" s="14"/>
      <c r="AP81" s="14"/>
    </row>
    <row r="82" spans="1:42" ht="14.5" x14ac:dyDescent="0.35">
      <c r="A82" s="1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14"/>
      <c r="AH82" s="14"/>
      <c r="AI82" s="14"/>
      <c r="AJ82" s="14"/>
      <c r="AK82" s="14"/>
      <c r="AL82" s="14"/>
      <c r="AM82" s="14"/>
      <c r="AN82" s="14"/>
      <c r="AO82" s="14"/>
      <c r="AP82" s="14"/>
    </row>
    <row r="83" spans="1:42" ht="14.5" x14ac:dyDescent="0.35">
      <c r="A83" s="1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14"/>
      <c r="AH83" s="14"/>
      <c r="AI83" s="14"/>
      <c r="AJ83" s="14"/>
      <c r="AK83" s="14"/>
      <c r="AL83" s="14"/>
      <c r="AM83" s="14"/>
      <c r="AN83" s="14"/>
      <c r="AO83" s="14"/>
      <c r="AP83" s="14"/>
    </row>
    <row r="84" spans="1:42" ht="14.5" x14ac:dyDescent="0.35">
      <c r="A84" s="1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14"/>
      <c r="AH84" s="14"/>
      <c r="AI84" s="14"/>
      <c r="AJ84" s="14"/>
      <c r="AK84" s="14"/>
      <c r="AL84" s="14"/>
      <c r="AM84" s="14"/>
      <c r="AN84" s="14"/>
      <c r="AO84" s="14"/>
      <c r="AP84" s="14"/>
    </row>
    <row r="85" spans="1:42" ht="14.5" x14ac:dyDescent="0.35">
      <c r="A85" s="1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14"/>
      <c r="AH85" s="14"/>
      <c r="AI85" s="14"/>
      <c r="AJ85" s="14"/>
      <c r="AK85" s="14"/>
      <c r="AL85" s="14"/>
      <c r="AM85" s="14"/>
      <c r="AN85" s="14"/>
      <c r="AO85" s="14"/>
      <c r="AP85" s="14"/>
    </row>
    <row r="86" spans="1:42" ht="14.5" x14ac:dyDescent="0.35">
      <c r="A86" s="1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14"/>
      <c r="AH86" s="14"/>
      <c r="AI86" s="14"/>
      <c r="AJ86" s="14"/>
      <c r="AK86" s="14"/>
      <c r="AL86" s="14"/>
      <c r="AM86" s="14"/>
      <c r="AN86" s="14"/>
      <c r="AO86" s="14"/>
      <c r="AP86" s="14"/>
    </row>
    <row r="87" spans="1:42" ht="14.5" x14ac:dyDescent="0.35">
      <c r="A87" s="1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14"/>
      <c r="AH87" s="14"/>
      <c r="AI87" s="14"/>
      <c r="AJ87" s="14"/>
      <c r="AK87" s="14"/>
      <c r="AL87" s="14"/>
      <c r="AM87" s="14"/>
      <c r="AN87" s="14"/>
      <c r="AO87" s="14"/>
      <c r="AP87" s="14"/>
    </row>
    <row r="88" spans="1:42" ht="14.5" x14ac:dyDescent="0.35">
      <c r="A88" s="1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14"/>
      <c r="AH88" s="14"/>
      <c r="AI88" s="14"/>
      <c r="AJ88" s="14"/>
      <c r="AK88" s="14"/>
      <c r="AL88" s="14"/>
      <c r="AM88" s="14"/>
      <c r="AN88" s="14"/>
      <c r="AO88" s="14"/>
      <c r="AP88" s="14"/>
    </row>
    <row r="89" spans="1:42" ht="14.5" x14ac:dyDescent="0.35">
      <c r="A89" s="1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14"/>
      <c r="AH89" s="14"/>
      <c r="AI89" s="14"/>
      <c r="AJ89" s="14"/>
      <c r="AK89" s="14"/>
      <c r="AL89" s="14"/>
      <c r="AM89" s="14"/>
      <c r="AN89" s="14"/>
      <c r="AO89" s="14"/>
      <c r="AP89" s="14"/>
    </row>
    <row r="90" spans="1:42" ht="14.5" x14ac:dyDescent="0.35">
      <c r="A90" s="1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14"/>
      <c r="AH90" s="14"/>
      <c r="AI90" s="14"/>
      <c r="AJ90" s="14"/>
      <c r="AK90" s="14"/>
      <c r="AL90" s="14"/>
      <c r="AM90" s="14"/>
      <c r="AN90" s="14"/>
      <c r="AO90" s="14"/>
      <c r="AP90" s="14"/>
    </row>
    <row r="91" spans="1:42" ht="14.5" x14ac:dyDescent="0.35">
      <c r="A91" s="1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14"/>
      <c r="AH91" s="14"/>
      <c r="AI91" s="14"/>
      <c r="AJ91" s="14"/>
      <c r="AK91" s="14"/>
      <c r="AL91" s="14"/>
      <c r="AM91" s="14"/>
      <c r="AN91" s="14"/>
      <c r="AO91" s="14"/>
      <c r="AP91" s="14"/>
    </row>
    <row r="92" spans="1:42" ht="14.5" x14ac:dyDescent="0.35">
      <c r="A92" s="1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14"/>
      <c r="AH92" s="14"/>
      <c r="AI92" s="14"/>
      <c r="AJ92" s="14"/>
      <c r="AK92" s="14"/>
      <c r="AL92" s="14"/>
      <c r="AM92" s="14"/>
      <c r="AN92" s="14"/>
      <c r="AO92" s="14"/>
      <c r="AP92" s="14"/>
    </row>
    <row r="93" spans="1:42" ht="14.5" x14ac:dyDescent="0.35">
      <c r="A93" s="1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14"/>
      <c r="AH93" s="14"/>
      <c r="AI93" s="14"/>
      <c r="AJ93" s="14"/>
      <c r="AK93" s="14"/>
      <c r="AL93" s="14"/>
      <c r="AM93" s="14"/>
      <c r="AN93" s="14"/>
      <c r="AO93" s="14"/>
      <c r="AP93" s="14"/>
    </row>
    <row r="94" spans="1:42" ht="14.5" x14ac:dyDescent="0.35">
      <c r="A94" s="1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14"/>
      <c r="AH94" s="14"/>
      <c r="AI94" s="14"/>
      <c r="AJ94" s="14"/>
      <c r="AK94" s="14"/>
      <c r="AL94" s="14"/>
      <c r="AM94" s="14"/>
      <c r="AN94" s="14"/>
      <c r="AO94" s="14"/>
      <c r="AP94" s="14"/>
    </row>
    <row r="95" spans="1:42" ht="14.5" x14ac:dyDescent="0.35">
      <c r="A95" s="1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14"/>
      <c r="AH95" s="14"/>
      <c r="AI95" s="14"/>
      <c r="AJ95" s="14"/>
      <c r="AK95" s="14"/>
      <c r="AL95" s="14"/>
      <c r="AM95" s="14"/>
      <c r="AN95" s="14"/>
      <c r="AO95" s="14"/>
      <c r="AP95" s="14"/>
    </row>
    <row r="96" spans="1:42" ht="14.5" x14ac:dyDescent="0.35">
      <c r="A96" s="1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14"/>
      <c r="AH96" s="14"/>
      <c r="AI96" s="14"/>
      <c r="AJ96" s="14"/>
      <c r="AK96" s="14"/>
      <c r="AL96" s="14"/>
      <c r="AM96" s="14"/>
      <c r="AN96" s="14"/>
      <c r="AO96" s="14"/>
      <c r="AP96" s="14"/>
    </row>
    <row r="97" spans="1:42" ht="14.5" x14ac:dyDescent="0.35">
      <c r="A97" s="1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14"/>
      <c r="AH97" s="14"/>
      <c r="AI97" s="14"/>
      <c r="AJ97" s="14"/>
      <c r="AK97" s="14"/>
      <c r="AL97" s="14"/>
      <c r="AM97" s="14"/>
      <c r="AN97" s="14"/>
      <c r="AO97" s="14"/>
      <c r="AP97" s="14"/>
    </row>
    <row r="98" spans="1:42" ht="14.5" x14ac:dyDescent="0.35">
      <c r="A98" s="1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14"/>
      <c r="AH98" s="14"/>
      <c r="AI98" s="14"/>
      <c r="AJ98" s="14"/>
      <c r="AK98" s="14"/>
      <c r="AL98" s="14"/>
      <c r="AM98" s="14"/>
      <c r="AN98" s="14"/>
      <c r="AO98" s="14"/>
      <c r="AP98" s="14"/>
    </row>
    <row r="99" spans="1:42" ht="14.5" x14ac:dyDescent="0.35">
      <c r="A99" s="1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14"/>
      <c r="AH99" s="14"/>
      <c r="AI99" s="14"/>
      <c r="AJ99" s="14"/>
      <c r="AK99" s="14"/>
      <c r="AL99" s="14"/>
      <c r="AM99" s="14"/>
      <c r="AN99" s="14"/>
      <c r="AO99" s="14"/>
      <c r="AP99" s="14"/>
    </row>
    <row r="100" spans="1:42" ht="14.5" x14ac:dyDescent="0.35">
      <c r="A100" s="1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</row>
    <row r="101" spans="1:42" ht="14.5" x14ac:dyDescent="0.35">
      <c r="A101" s="1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</row>
    <row r="102" spans="1:42" ht="14.5" x14ac:dyDescent="0.35">
      <c r="A102" s="1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</row>
    <row r="103" spans="1:42" ht="14.5" x14ac:dyDescent="0.35">
      <c r="A103" s="1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</row>
    <row r="104" spans="1:42" ht="14.5" x14ac:dyDescent="0.35">
      <c r="A104" s="1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</row>
    <row r="105" spans="1:42" ht="14.5" x14ac:dyDescent="0.35">
      <c r="A105" s="1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</row>
    <row r="106" spans="1:42" ht="14.5" x14ac:dyDescent="0.35">
      <c r="A106" s="1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</row>
    <row r="107" spans="1:42" ht="14.5" x14ac:dyDescent="0.35">
      <c r="A107" s="1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</row>
    <row r="108" spans="1:42" ht="14.5" x14ac:dyDescent="0.35">
      <c r="A108" s="1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</row>
    <row r="109" spans="1:42" ht="14.5" x14ac:dyDescent="0.35">
      <c r="A109" s="1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</row>
    <row r="110" spans="1:42" ht="14.5" x14ac:dyDescent="0.35">
      <c r="A110" s="1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</row>
    <row r="111" spans="1:42" ht="14.5" x14ac:dyDescent="0.35">
      <c r="A111" s="1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</row>
    <row r="112" spans="1:42" ht="14.5" x14ac:dyDescent="0.35">
      <c r="A112" s="1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</row>
    <row r="113" spans="1:42" ht="14.5" x14ac:dyDescent="0.35">
      <c r="A113" s="1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</row>
    <row r="114" spans="1:42" ht="14.5" x14ac:dyDescent="0.35">
      <c r="A114" s="1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</row>
    <row r="115" spans="1:42" ht="14.5" x14ac:dyDescent="0.35">
      <c r="A115" s="1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</row>
    <row r="116" spans="1:42" ht="14.5" x14ac:dyDescent="0.35">
      <c r="A116" s="1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</row>
    <row r="117" spans="1:42" ht="14.5" x14ac:dyDescent="0.35">
      <c r="A117" s="1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</row>
    <row r="118" spans="1:42" ht="14.5" x14ac:dyDescent="0.35">
      <c r="A118" s="1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</row>
    <row r="119" spans="1:42" ht="14.5" x14ac:dyDescent="0.35">
      <c r="A119" s="1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</row>
    <row r="120" spans="1:42" ht="14.5" x14ac:dyDescent="0.35">
      <c r="A120" s="1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</row>
    <row r="121" spans="1:42" ht="14.5" x14ac:dyDescent="0.35">
      <c r="A121" s="1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</row>
    <row r="122" spans="1:42" ht="14.5" x14ac:dyDescent="0.35">
      <c r="A122" s="1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</row>
    <row r="123" spans="1:42" ht="14.5" x14ac:dyDescent="0.35">
      <c r="A123" s="1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</row>
    <row r="124" spans="1:42" ht="14.5" x14ac:dyDescent="0.35">
      <c r="A124" s="1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</row>
    <row r="125" spans="1:42" ht="14.5" x14ac:dyDescent="0.35">
      <c r="A125" s="1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</row>
    <row r="126" spans="1:42" ht="14.5" x14ac:dyDescent="0.35">
      <c r="A126" s="1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</row>
    <row r="127" spans="1:42" ht="14.5" x14ac:dyDescent="0.35">
      <c r="A127" s="1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</row>
    <row r="128" spans="1:42" ht="14.5" x14ac:dyDescent="0.35">
      <c r="A128" s="1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</row>
    <row r="129" spans="1:42" ht="14.5" x14ac:dyDescent="0.35">
      <c r="A129" s="1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</row>
    <row r="130" spans="1:42" ht="14.5" x14ac:dyDescent="0.35">
      <c r="A130" s="1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</row>
    <row r="131" spans="1:42" ht="14.5" x14ac:dyDescent="0.35">
      <c r="A131" s="1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</row>
    <row r="132" spans="1:42" ht="14.5" x14ac:dyDescent="0.35">
      <c r="A132" s="1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</row>
    <row r="133" spans="1:42" ht="14.5" x14ac:dyDescent="0.35">
      <c r="A133" s="1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</row>
    <row r="134" spans="1:42" ht="14.5" x14ac:dyDescent="0.35">
      <c r="A134" s="1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</row>
    <row r="135" spans="1:42" ht="14.5" x14ac:dyDescent="0.35">
      <c r="A135" s="1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</row>
    <row r="136" spans="1:42" ht="14.5" x14ac:dyDescent="0.35">
      <c r="A136" s="1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</row>
    <row r="137" spans="1:42" ht="14.5" x14ac:dyDescent="0.35">
      <c r="A137" s="1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</row>
    <row r="138" spans="1:42" ht="14.5" x14ac:dyDescent="0.35">
      <c r="A138" s="1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</row>
    <row r="139" spans="1:42" ht="14.5" x14ac:dyDescent="0.35">
      <c r="A139" s="1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</row>
    <row r="140" spans="1:42" ht="14.5" x14ac:dyDescent="0.35">
      <c r="A140" s="1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</row>
    <row r="141" spans="1:42" ht="14.5" x14ac:dyDescent="0.35">
      <c r="A141" s="1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</row>
    <row r="142" spans="1:42" ht="14.5" x14ac:dyDescent="0.35">
      <c r="A142" s="1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</row>
    <row r="143" spans="1:42" ht="14.5" x14ac:dyDescent="0.35">
      <c r="A143" s="1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</row>
    <row r="144" spans="1:42" ht="14.5" x14ac:dyDescent="0.35">
      <c r="A144" s="1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</row>
    <row r="145" spans="1:42" ht="14.5" x14ac:dyDescent="0.35">
      <c r="A145" s="1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</row>
    <row r="146" spans="1:42" ht="14.5" x14ac:dyDescent="0.35">
      <c r="A146" s="1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</row>
    <row r="147" spans="1:42" ht="14.5" x14ac:dyDescent="0.35">
      <c r="A147" s="1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</row>
    <row r="148" spans="1:42" ht="14.5" x14ac:dyDescent="0.35">
      <c r="A148" s="1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</row>
    <row r="149" spans="1:42" ht="14.5" x14ac:dyDescent="0.35">
      <c r="A149" s="1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</row>
    <row r="150" spans="1:42" ht="14.5" x14ac:dyDescent="0.35">
      <c r="A150" s="1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</row>
    <row r="151" spans="1:42" ht="14.5" x14ac:dyDescent="0.35">
      <c r="A151" s="1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</row>
    <row r="152" spans="1:42" ht="14.5" x14ac:dyDescent="0.35">
      <c r="A152" s="1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</row>
    <row r="153" spans="1:42" ht="14.5" x14ac:dyDescent="0.35">
      <c r="A153" s="1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</row>
    <row r="154" spans="1:42" ht="14.5" x14ac:dyDescent="0.35">
      <c r="A154" s="1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</row>
    <row r="155" spans="1:42" ht="14.5" x14ac:dyDescent="0.35">
      <c r="A155" s="1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</row>
    <row r="156" spans="1:42" ht="14.5" x14ac:dyDescent="0.35">
      <c r="A156" s="1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</row>
    <row r="157" spans="1:42" ht="14.5" x14ac:dyDescent="0.35">
      <c r="A157" s="1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</row>
    <row r="158" spans="1:42" ht="14.5" x14ac:dyDescent="0.35">
      <c r="A158" s="1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</row>
    <row r="159" spans="1:42" ht="14.5" x14ac:dyDescent="0.35">
      <c r="A159" s="1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</row>
    <row r="160" spans="1:42" ht="14.5" x14ac:dyDescent="0.35">
      <c r="A160" s="1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</row>
    <row r="161" spans="1:42" ht="14.5" x14ac:dyDescent="0.35">
      <c r="A161" s="1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</row>
    <row r="162" spans="1:42" ht="14.5" x14ac:dyDescent="0.35">
      <c r="A162" s="1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</row>
    <row r="163" spans="1:42" ht="14.5" x14ac:dyDescent="0.35">
      <c r="A163" s="1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</row>
    <row r="164" spans="1:42" ht="14.5" x14ac:dyDescent="0.35">
      <c r="A164" s="1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</row>
    <row r="165" spans="1:42" ht="14.5" x14ac:dyDescent="0.35">
      <c r="A165" s="1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</row>
    <row r="166" spans="1:42" ht="14.5" x14ac:dyDescent="0.35">
      <c r="A166" s="1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</row>
    <row r="167" spans="1:42" ht="14.5" x14ac:dyDescent="0.35">
      <c r="A167" s="1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</row>
    <row r="168" spans="1:42" ht="14.5" x14ac:dyDescent="0.35">
      <c r="A168" s="1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</row>
    <row r="169" spans="1:42" ht="14.5" x14ac:dyDescent="0.35">
      <c r="A169" s="1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</row>
    <row r="170" spans="1:42" ht="14.5" x14ac:dyDescent="0.35">
      <c r="A170" s="1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</row>
    <row r="171" spans="1:42" ht="14.5" x14ac:dyDescent="0.35">
      <c r="A171" s="1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</row>
    <row r="172" spans="1:42" ht="14.5" x14ac:dyDescent="0.35">
      <c r="A172" s="1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</row>
    <row r="173" spans="1:42" ht="14.5" x14ac:dyDescent="0.35">
      <c r="A173" s="1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</row>
    <row r="174" spans="1:42" ht="14.5" x14ac:dyDescent="0.35">
      <c r="A174" s="1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</row>
    <row r="175" spans="1:42" ht="14.5" x14ac:dyDescent="0.35">
      <c r="A175" s="1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</row>
    <row r="176" spans="1:42" ht="14.5" x14ac:dyDescent="0.35">
      <c r="A176" s="1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</row>
    <row r="177" spans="1:42" ht="14.5" x14ac:dyDescent="0.35">
      <c r="A177" s="1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</row>
    <row r="178" spans="1:42" ht="14.5" x14ac:dyDescent="0.35">
      <c r="A178" s="1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</row>
    <row r="179" spans="1:42" ht="14.5" x14ac:dyDescent="0.35">
      <c r="A179" s="1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</row>
    <row r="180" spans="1:42" ht="14.5" x14ac:dyDescent="0.35">
      <c r="A180" s="1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</row>
    <row r="181" spans="1:42" ht="14.5" x14ac:dyDescent="0.35">
      <c r="A181" s="1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</row>
    <row r="182" spans="1:42" ht="14.5" x14ac:dyDescent="0.35">
      <c r="A182" s="1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</row>
    <row r="183" spans="1:42" ht="14.5" x14ac:dyDescent="0.35">
      <c r="A183" s="1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</row>
    <row r="184" spans="1:42" ht="14.5" x14ac:dyDescent="0.35">
      <c r="A184" s="1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</row>
    <row r="185" spans="1:42" ht="14.5" x14ac:dyDescent="0.35">
      <c r="A185" s="1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</row>
    <row r="186" spans="1:42" ht="14.5" x14ac:dyDescent="0.35">
      <c r="A186" s="1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</row>
    <row r="187" spans="1:42" ht="14.5" x14ac:dyDescent="0.35">
      <c r="A187" s="1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</row>
    <row r="188" spans="1:42" ht="14.5" x14ac:dyDescent="0.35">
      <c r="A188" s="1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</row>
    <row r="189" spans="1:42" ht="14.5" x14ac:dyDescent="0.35">
      <c r="A189" s="1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</row>
    <row r="190" spans="1:42" ht="14.5" x14ac:dyDescent="0.35">
      <c r="A190" s="1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</row>
    <row r="191" spans="1:42" ht="14.5" x14ac:dyDescent="0.35">
      <c r="A191" s="1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</row>
    <row r="192" spans="1:42" ht="14.5" x14ac:dyDescent="0.35">
      <c r="A192" s="1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</row>
    <row r="193" spans="1:42" ht="14.5" x14ac:dyDescent="0.35">
      <c r="A193" s="1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</row>
    <row r="194" spans="1:42" ht="14.5" x14ac:dyDescent="0.35">
      <c r="A194" s="1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</row>
    <row r="195" spans="1:42" ht="14.5" x14ac:dyDescent="0.35">
      <c r="A195" s="1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</row>
    <row r="196" spans="1:42" ht="14.5" x14ac:dyDescent="0.35">
      <c r="A196" s="1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</row>
    <row r="197" spans="1:42" ht="14.5" x14ac:dyDescent="0.35">
      <c r="A197" s="1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</row>
    <row r="198" spans="1:42" ht="14.5" x14ac:dyDescent="0.35">
      <c r="A198" s="1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</row>
    <row r="199" spans="1:42" ht="14.5" x14ac:dyDescent="0.35">
      <c r="A199" s="1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</row>
    <row r="200" spans="1:42" ht="14.5" x14ac:dyDescent="0.35">
      <c r="A200" s="1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</row>
    <row r="201" spans="1:42" ht="14.5" x14ac:dyDescent="0.35">
      <c r="A201" s="1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</row>
    <row r="202" spans="1:42" ht="14.5" x14ac:dyDescent="0.35">
      <c r="A202" s="1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</row>
    <row r="203" spans="1:42" ht="14.5" x14ac:dyDescent="0.35">
      <c r="A203" s="1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</row>
    <row r="204" spans="1:42" ht="14.5" x14ac:dyDescent="0.35">
      <c r="A204" s="1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</row>
    <row r="205" spans="1:42" ht="14.5" x14ac:dyDescent="0.35">
      <c r="A205" s="1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</row>
    <row r="206" spans="1:42" ht="14.5" x14ac:dyDescent="0.35">
      <c r="A206" s="1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</row>
    <row r="207" spans="1:42" ht="14.5" x14ac:dyDescent="0.35">
      <c r="A207" s="1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</row>
    <row r="208" spans="1:42" ht="14.5" x14ac:dyDescent="0.35">
      <c r="A208" s="1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</row>
    <row r="209" spans="1:42" ht="14.5" x14ac:dyDescent="0.35">
      <c r="A209" s="1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</row>
    <row r="210" spans="1:42" ht="14.5" x14ac:dyDescent="0.35">
      <c r="A210" s="1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</row>
    <row r="211" spans="1:42" ht="14.5" x14ac:dyDescent="0.35">
      <c r="A211" s="1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</row>
    <row r="212" spans="1:42" ht="14.5" x14ac:dyDescent="0.35">
      <c r="A212" s="1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</row>
    <row r="213" spans="1:42" ht="14.5" x14ac:dyDescent="0.35">
      <c r="A213" s="1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</row>
    <row r="214" spans="1:42" ht="14.5" x14ac:dyDescent="0.35">
      <c r="A214" s="1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</row>
    <row r="215" spans="1:42" ht="14.5" x14ac:dyDescent="0.35">
      <c r="A215" s="1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</row>
    <row r="216" spans="1:42" ht="14.5" x14ac:dyDescent="0.35">
      <c r="A216" s="1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</row>
    <row r="217" spans="1:42" ht="14.5" x14ac:dyDescent="0.35">
      <c r="A217" s="1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</row>
    <row r="218" spans="1:42" ht="14.5" x14ac:dyDescent="0.35">
      <c r="A218" s="1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</row>
    <row r="219" spans="1:42" ht="14.5" x14ac:dyDescent="0.35">
      <c r="A219" s="1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</row>
    <row r="220" spans="1:42" ht="14.5" x14ac:dyDescent="0.35">
      <c r="A220" s="1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</row>
    <row r="221" spans="1:42" ht="14.5" x14ac:dyDescent="0.35">
      <c r="A221" s="1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</row>
    <row r="222" spans="1:42" ht="14.5" x14ac:dyDescent="0.35">
      <c r="A222" s="1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</row>
    <row r="223" spans="1:42" ht="14.5" x14ac:dyDescent="0.35">
      <c r="A223" s="1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</row>
    <row r="224" spans="1:42" ht="14.5" x14ac:dyDescent="0.35">
      <c r="A224" s="1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</row>
    <row r="225" spans="1:42" ht="14.5" x14ac:dyDescent="0.35">
      <c r="A225" s="1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</row>
    <row r="226" spans="1:42" ht="14.5" x14ac:dyDescent="0.35">
      <c r="A226" s="1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</row>
    <row r="227" spans="1:42" ht="14.5" x14ac:dyDescent="0.35">
      <c r="A227" s="1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</row>
    <row r="228" spans="1:42" ht="14.5" x14ac:dyDescent="0.35">
      <c r="A228" s="1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</row>
    <row r="229" spans="1:42" ht="14.5" x14ac:dyDescent="0.35">
      <c r="A229" s="1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</row>
    <row r="230" spans="1:42" ht="14.5" x14ac:dyDescent="0.35">
      <c r="A230" s="1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</row>
    <row r="231" spans="1:42" ht="14.5" x14ac:dyDescent="0.35">
      <c r="A231" s="1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</row>
    <row r="232" spans="1:42" ht="14.5" x14ac:dyDescent="0.35">
      <c r="A232" s="1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</row>
    <row r="233" spans="1:42" ht="14.5" x14ac:dyDescent="0.35">
      <c r="A233" s="1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</row>
    <row r="234" spans="1:42" ht="14.5" x14ac:dyDescent="0.35">
      <c r="A234" s="1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</row>
    <row r="235" spans="1:42" ht="14.5" x14ac:dyDescent="0.35">
      <c r="A235" s="1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</row>
    <row r="236" spans="1:42" ht="14.5" x14ac:dyDescent="0.35">
      <c r="A236" s="1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</row>
    <row r="237" spans="1:42" ht="14.5" x14ac:dyDescent="0.35">
      <c r="A237" s="1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</row>
    <row r="238" spans="1:42" ht="14.5" x14ac:dyDescent="0.35">
      <c r="A238" s="1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</row>
    <row r="239" spans="1:42" ht="14.5" x14ac:dyDescent="0.35">
      <c r="A239" s="1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</row>
    <row r="240" spans="1:42" ht="14.5" x14ac:dyDescent="0.35">
      <c r="A240" s="1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</row>
    <row r="241" spans="1:42" ht="14.5" x14ac:dyDescent="0.35">
      <c r="A241" s="1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</row>
    <row r="242" spans="1:42" ht="14.5" x14ac:dyDescent="0.35">
      <c r="A242" s="1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</row>
    <row r="243" spans="1:42" ht="14.5" x14ac:dyDescent="0.35">
      <c r="A243" s="1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</row>
    <row r="244" spans="1:42" ht="14.5" x14ac:dyDescent="0.35">
      <c r="A244" s="1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</row>
    <row r="245" spans="1:42" ht="14.5" x14ac:dyDescent="0.35">
      <c r="A245" s="1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</row>
    <row r="246" spans="1:42" ht="14.5" x14ac:dyDescent="0.35">
      <c r="A246" s="1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</row>
    <row r="247" spans="1:42" ht="14.5" x14ac:dyDescent="0.35">
      <c r="A247" s="1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</row>
    <row r="248" spans="1:42" ht="14.5" x14ac:dyDescent="0.35">
      <c r="A248" s="1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</row>
    <row r="249" spans="1:42" ht="14.5" x14ac:dyDescent="0.35">
      <c r="A249" s="1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</row>
    <row r="250" spans="1:42" ht="14.5" x14ac:dyDescent="0.35">
      <c r="A250" s="1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</row>
    <row r="251" spans="1:42" ht="14.5" x14ac:dyDescent="0.35">
      <c r="A251" s="1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</row>
    <row r="252" spans="1:42" ht="14.5" x14ac:dyDescent="0.35">
      <c r="A252" s="1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</row>
    <row r="253" spans="1:42" ht="14.5" x14ac:dyDescent="0.35">
      <c r="A253" s="1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</row>
    <row r="254" spans="1:42" ht="14.5" x14ac:dyDescent="0.35">
      <c r="A254" s="1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</row>
    <row r="255" spans="1:42" ht="14.5" x14ac:dyDescent="0.35">
      <c r="A255" s="1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</row>
    <row r="256" spans="1:42" ht="14.5" x14ac:dyDescent="0.35">
      <c r="A256" s="1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</row>
    <row r="257" spans="1:42" ht="14.5" x14ac:dyDescent="0.35">
      <c r="A257" s="1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</row>
    <row r="258" spans="1:42" ht="14.5" x14ac:dyDescent="0.35">
      <c r="A258" s="1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</row>
    <row r="259" spans="1:42" ht="14.5" x14ac:dyDescent="0.35">
      <c r="A259" s="1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</row>
    <row r="260" spans="1:42" ht="14.5" x14ac:dyDescent="0.35">
      <c r="A260" s="1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</row>
    <row r="261" spans="1:42" ht="14.5" x14ac:dyDescent="0.35">
      <c r="A261" s="1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</row>
    <row r="262" spans="1:42" ht="14.5" x14ac:dyDescent="0.35">
      <c r="A262" s="1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</row>
    <row r="263" spans="1:42" ht="14.5" x14ac:dyDescent="0.35">
      <c r="A263" s="1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</row>
    <row r="264" spans="1:42" ht="14.5" x14ac:dyDescent="0.35">
      <c r="A264" s="1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</row>
    <row r="265" spans="1:42" ht="14.5" x14ac:dyDescent="0.35">
      <c r="A265" s="1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</row>
    <row r="266" spans="1:42" ht="14.5" x14ac:dyDescent="0.35">
      <c r="A266" s="1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</row>
    <row r="267" spans="1:42" ht="14.5" x14ac:dyDescent="0.35">
      <c r="A267" s="1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</row>
    <row r="268" spans="1:42" ht="14.5" x14ac:dyDescent="0.35">
      <c r="A268" s="1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</row>
    <row r="269" spans="1:42" ht="14.5" x14ac:dyDescent="0.35">
      <c r="A269" s="1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</row>
    <row r="270" spans="1:42" ht="14.5" x14ac:dyDescent="0.35">
      <c r="A270" s="1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</row>
    <row r="271" spans="1:42" ht="14.5" x14ac:dyDescent="0.35">
      <c r="A271" s="1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</row>
    <row r="272" spans="1:42" ht="14.5" x14ac:dyDescent="0.35">
      <c r="A272" s="1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</row>
    <row r="273" spans="1:42" ht="14.5" x14ac:dyDescent="0.35">
      <c r="A273" s="1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</row>
    <row r="274" spans="1:42" ht="14.5" x14ac:dyDescent="0.35">
      <c r="A274" s="1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</row>
    <row r="275" spans="1:42" ht="14.5" x14ac:dyDescent="0.35">
      <c r="A275" s="1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</row>
    <row r="276" spans="1:42" ht="14.5" x14ac:dyDescent="0.35">
      <c r="A276" s="1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</row>
    <row r="277" spans="1:42" ht="14.5" x14ac:dyDescent="0.35">
      <c r="A277" s="1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</row>
    <row r="278" spans="1:42" ht="14.5" x14ac:dyDescent="0.35">
      <c r="A278" s="1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</row>
    <row r="279" spans="1:42" ht="14.5" x14ac:dyDescent="0.35">
      <c r="A279" s="1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</row>
    <row r="280" spans="1:42" ht="14.5" x14ac:dyDescent="0.35">
      <c r="A280" s="1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</row>
    <row r="281" spans="1:42" ht="14.5" x14ac:dyDescent="0.35">
      <c r="A281" s="1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</row>
    <row r="282" spans="1:42" ht="14.5" x14ac:dyDescent="0.35">
      <c r="A282" s="1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</row>
    <row r="283" spans="1:42" ht="14.5" x14ac:dyDescent="0.35">
      <c r="A283" s="1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</row>
    <row r="284" spans="1:42" ht="14.5" x14ac:dyDescent="0.35">
      <c r="A284" s="1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</row>
    <row r="285" spans="1:42" ht="14.5" x14ac:dyDescent="0.35">
      <c r="A285" s="1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</row>
    <row r="286" spans="1:42" ht="14.5" x14ac:dyDescent="0.35">
      <c r="A286" s="1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</row>
    <row r="287" spans="1:42" ht="14.5" x14ac:dyDescent="0.35">
      <c r="A287" s="1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</row>
    <row r="288" spans="1:42" ht="14.5" x14ac:dyDescent="0.35">
      <c r="A288" s="1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</row>
    <row r="289" spans="1:42" ht="14.5" x14ac:dyDescent="0.35">
      <c r="A289" s="1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</row>
    <row r="290" spans="1:42" ht="14.5" x14ac:dyDescent="0.35">
      <c r="A290" s="1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</row>
    <row r="291" spans="1:42" ht="14.5" x14ac:dyDescent="0.35">
      <c r="A291" s="1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</row>
    <row r="292" spans="1:42" ht="14.5" x14ac:dyDescent="0.35">
      <c r="A292" s="1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</row>
    <row r="293" spans="1:42" ht="14.5" x14ac:dyDescent="0.35">
      <c r="A293" s="1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</row>
    <row r="294" spans="1:42" ht="14.5" x14ac:dyDescent="0.35">
      <c r="A294" s="1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</row>
    <row r="295" spans="1:42" ht="14.5" x14ac:dyDescent="0.35">
      <c r="A295" s="1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</row>
    <row r="296" spans="1:42" ht="14.5" x14ac:dyDescent="0.35">
      <c r="A296" s="1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</row>
    <row r="297" spans="1:42" ht="14.5" x14ac:dyDescent="0.35">
      <c r="A297" s="1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</row>
    <row r="298" spans="1:42" ht="14.5" x14ac:dyDescent="0.35">
      <c r="A298" s="1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</row>
    <row r="299" spans="1:42" ht="14.5" x14ac:dyDescent="0.35">
      <c r="A299" s="1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</row>
    <row r="300" spans="1:42" ht="14.5" x14ac:dyDescent="0.35">
      <c r="A300" s="1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</row>
    <row r="301" spans="1:42" ht="14.5" x14ac:dyDescent="0.35">
      <c r="A301" s="1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</row>
    <row r="302" spans="1:42" ht="14.5" x14ac:dyDescent="0.35">
      <c r="A302" s="1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</row>
    <row r="303" spans="1:42" ht="14.5" x14ac:dyDescent="0.35">
      <c r="A303" s="1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</row>
    <row r="304" spans="1:42" ht="14.5" x14ac:dyDescent="0.35">
      <c r="A304" s="1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</row>
    <row r="305" spans="1:42" ht="14.5" x14ac:dyDescent="0.35">
      <c r="A305" s="1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</row>
    <row r="306" spans="1:42" ht="14.5" x14ac:dyDescent="0.35">
      <c r="A306" s="1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</row>
    <row r="307" spans="1:42" ht="14.5" x14ac:dyDescent="0.35">
      <c r="A307" s="1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</row>
    <row r="308" spans="1:42" ht="14.5" x14ac:dyDescent="0.35">
      <c r="A308" s="1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</row>
    <row r="309" spans="1:42" ht="14.5" x14ac:dyDescent="0.35">
      <c r="A309" s="1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</row>
    <row r="310" spans="1:42" ht="14.5" x14ac:dyDescent="0.35">
      <c r="A310" s="1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</row>
    <row r="311" spans="1:42" ht="14.5" x14ac:dyDescent="0.35">
      <c r="A311" s="1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</row>
    <row r="312" spans="1:42" ht="14.5" x14ac:dyDescent="0.35">
      <c r="A312" s="1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</row>
    <row r="313" spans="1:42" ht="14.5" x14ac:dyDescent="0.35">
      <c r="A313" s="1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</row>
    <row r="314" spans="1:42" ht="14.5" x14ac:dyDescent="0.35">
      <c r="A314" s="1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</row>
    <row r="315" spans="1:42" ht="14.5" x14ac:dyDescent="0.35">
      <c r="A315" s="1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</row>
    <row r="316" spans="1:42" ht="14.5" x14ac:dyDescent="0.35">
      <c r="A316" s="1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</row>
    <row r="317" spans="1:42" ht="14.5" x14ac:dyDescent="0.35">
      <c r="A317" s="1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</row>
    <row r="318" spans="1:42" ht="14.5" x14ac:dyDescent="0.35">
      <c r="A318" s="1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</row>
    <row r="319" spans="1:42" ht="14.5" x14ac:dyDescent="0.35">
      <c r="A319" s="1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</row>
    <row r="320" spans="1:42" ht="14.5" x14ac:dyDescent="0.35">
      <c r="A320" s="1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</row>
    <row r="321" spans="1:42" ht="14.5" x14ac:dyDescent="0.35">
      <c r="A321" s="1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</row>
    <row r="322" spans="1:42" ht="14.5" x14ac:dyDescent="0.35">
      <c r="A322" s="1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</row>
    <row r="323" spans="1:42" ht="14.5" x14ac:dyDescent="0.35">
      <c r="A323" s="1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</row>
    <row r="324" spans="1:42" ht="14.5" x14ac:dyDescent="0.35">
      <c r="A324" s="1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</row>
    <row r="325" spans="1:42" ht="14.5" x14ac:dyDescent="0.35">
      <c r="A325" s="1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</row>
    <row r="326" spans="1:42" ht="14.5" x14ac:dyDescent="0.35">
      <c r="A326" s="1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</row>
    <row r="327" spans="1:42" ht="14.5" x14ac:dyDescent="0.35">
      <c r="A327" s="1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</row>
    <row r="328" spans="1:42" ht="14.5" x14ac:dyDescent="0.35">
      <c r="A328" s="1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</row>
    <row r="329" spans="1:42" ht="14.5" x14ac:dyDescent="0.35">
      <c r="A329" s="1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</row>
    <row r="330" spans="1:42" ht="14.5" x14ac:dyDescent="0.35">
      <c r="A330" s="1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</row>
    <row r="331" spans="1:42" ht="14.5" x14ac:dyDescent="0.35">
      <c r="A331" s="1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</row>
    <row r="332" spans="1:42" ht="14.5" x14ac:dyDescent="0.35">
      <c r="A332" s="1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</row>
    <row r="333" spans="1:42" ht="14.5" x14ac:dyDescent="0.35">
      <c r="A333" s="1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</row>
    <row r="334" spans="1:42" ht="14.5" x14ac:dyDescent="0.35">
      <c r="A334" s="1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</row>
    <row r="335" spans="1:42" ht="14.5" x14ac:dyDescent="0.35">
      <c r="A335" s="1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</row>
    <row r="336" spans="1:42" ht="14.5" x14ac:dyDescent="0.35">
      <c r="A336" s="1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</row>
    <row r="337" spans="1:42" ht="14.5" x14ac:dyDescent="0.35">
      <c r="A337" s="1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</row>
    <row r="338" spans="1:42" ht="14.5" x14ac:dyDescent="0.35">
      <c r="A338" s="1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</row>
    <row r="339" spans="1:42" ht="14.5" x14ac:dyDescent="0.35">
      <c r="A339" s="1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</row>
    <row r="340" spans="1:42" ht="14.5" x14ac:dyDescent="0.35">
      <c r="A340" s="1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</row>
    <row r="341" spans="1:42" ht="14.5" x14ac:dyDescent="0.35">
      <c r="A341" s="1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</row>
    <row r="342" spans="1:42" ht="14.5" x14ac:dyDescent="0.35">
      <c r="A342" s="1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</row>
    <row r="343" spans="1:42" ht="14.5" x14ac:dyDescent="0.35">
      <c r="A343" s="1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</row>
    <row r="344" spans="1:42" ht="14.5" x14ac:dyDescent="0.35">
      <c r="A344" s="1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</row>
    <row r="345" spans="1:42" ht="14.5" x14ac:dyDescent="0.35">
      <c r="A345" s="1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</row>
    <row r="346" spans="1:42" ht="14.5" x14ac:dyDescent="0.35">
      <c r="A346" s="1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</row>
    <row r="347" spans="1:42" ht="14.5" x14ac:dyDescent="0.35">
      <c r="A347" s="1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</row>
    <row r="348" spans="1:42" ht="14.5" x14ac:dyDescent="0.35">
      <c r="A348" s="1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</row>
    <row r="349" spans="1:42" ht="14.5" x14ac:dyDescent="0.35">
      <c r="A349" s="1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</row>
    <row r="350" spans="1:42" ht="14.5" x14ac:dyDescent="0.35">
      <c r="A350" s="1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</row>
    <row r="351" spans="1:42" ht="14.5" x14ac:dyDescent="0.35">
      <c r="A351" s="1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</row>
    <row r="352" spans="1:42" ht="14.5" x14ac:dyDescent="0.35">
      <c r="A352" s="1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</row>
    <row r="353" spans="1:42" ht="14.5" x14ac:dyDescent="0.35">
      <c r="A353" s="1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</row>
    <row r="354" spans="1:42" ht="14.5" x14ac:dyDescent="0.35">
      <c r="A354" s="1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</row>
    <row r="355" spans="1:42" ht="14.5" x14ac:dyDescent="0.35">
      <c r="A355" s="1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</row>
    <row r="356" spans="1:42" ht="14.5" x14ac:dyDescent="0.35">
      <c r="A356" s="1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</row>
    <row r="357" spans="1:42" ht="14.5" x14ac:dyDescent="0.35">
      <c r="A357" s="1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</row>
    <row r="358" spans="1:42" ht="14.5" x14ac:dyDescent="0.35">
      <c r="A358" s="1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</row>
    <row r="359" spans="1:42" ht="14.5" x14ac:dyDescent="0.35">
      <c r="A359" s="1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</row>
    <row r="360" spans="1:42" ht="14.5" x14ac:dyDescent="0.35">
      <c r="A360" s="1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</row>
    <row r="361" spans="1:42" ht="14.5" x14ac:dyDescent="0.35">
      <c r="A361" s="1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</row>
    <row r="362" spans="1:42" ht="14.5" x14ac:dyDescent="0.35">
      <c r="A362" s="1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</row>
    <row r="363" spans="1:42" ht="14.5" x14ac:dyDescent="0.35">
      <c r="A363" s="1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</row>
    <row r="364" spans="1:42" ht="14.5" x14ac:dyDescent="0.35">
      <c r="A364" s="1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</row>
    <row r="365" spans="1:42" ht="14.5" x14ac:dyDescent="0.35">
      <c r="A365" s="1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</row>
    <row r="366" spans="1:42" ht="14.5" x14ac:dyDescent="0.35">
      <c r="A366" s="1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</row>
    <row r="367" spans="1:42" ht="14.5" x14ac:dyDescent="0.35">
      <c r="A367" s="1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</row>
    <row r="368" spans="1:42" ht="14.5" x14ac:dyDescent="0.35">
      <c r="A368" s="1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</row>
    <row r="369" spans="1:42" ht="14.5" x14ac:dyDescent="0.35">
      <c r="A369" s="1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</row>
    <row r="370" spans="1:42" ht="14.5" x14ac:dyDescent="0.35">
      <c r="A370" s="1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</row>
    <row r="371" spans="1:42" ht="14.5" x14ac:dyDescent="0.35">
      <c r="A371" s="1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</row>
    <row r="372" spans="1:42" ht="14.5" x14ac:dyDescent="0.35">
      <c r="A372" s="1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</row>
    <row r="373" spans="1:42" ht="14.5" x14ac:dyDescent="0.35">
      <c r="A373" s="1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</row>
    <row r="374" spans="1:42" ht="14.5" x14ac:dyDescent="0.35">
      <c r="A374" s="1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</row>
    <row r="375" spans="1:42" ht="14.5" x14ac:dyDescent="0.35">
      <c r="A375" s="1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</row>
    <row r="376" spans="1:42" ht="14.5" x14ac:dyDescent="0.35">
      <c r="A376" s="1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</row>
    <row r="377" spans="1:42" ht="14.5" x14ac:dyDescent="0.35">
      <c r="A377" s="1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</row>
    <row r="378" spans="1:42" ht="14.5" x14ac:dyDescent="0.35">
      <c r="A378" s="1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</row>
    <row r="379" spans="1:42" ht="14.5" x14ac:dyDescent="0.35">
      <c r="A379" s="1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</row>
    <row r="380" spans="1:42" ht="14.5" x14ac:dyDescent="0.35">
      <c r="A380" s="1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</row>
    <row r="381" spans="1:42" ht="14.5" x14ac:dyDescent="0.35">
      <c r="A381" s="1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</row>
    <row r="382" spans="1:42" ht="14.5" x14ac:dyDescent="0.35">
      <c r="A382" s="1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</row>
    <row r="383" spans="1:42" ht="14.5" x14ac:dyDescent="0.35">
      <c r="A383" s="1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</row>
    <row r="384" spans="1:42" ht="14.5" x14ac:dyDescent="0.35">
      <c r="A384" s="1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</row>
    <row r="385" spans="1:42" ht="14.5" x14ac:dyDescent="0.35">
      <c r="A385" s="1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</row>
    <row r="386" spans="1:42" ht="14.5" x14ac:dyDescent="0.35">
      <c r="A386" s="1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</row>
    <row r="387" spans="1:42" ht="14.5" x14ac:dyDescent="0.35">
      <c r="A387" s="1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</row>
    <row r="388" spans="1:42" ht="14.5" x14ac:dyDescent="0.35">
      <c r="A388" s="1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</row>
    <row r="389" spans="1:42" ht="14.5" x14ac:dyDescent="0.35">
      <c r="A389" s="1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</row>
    <row r="390" spans="1:42" ht="14.5" x14ac:dyDescent="0.35">
      <c r="A390" s="1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</row>
    <row r="391" spans="1:42" ht="14.5" x14ac:dyDescent="0.35">
      <c r="A391" s="1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</row>
    <row r="392" spans="1:42" ht="14.5" x14ac:dyDescent="0.35">
      <c r="A392" s="1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</row>
    <row r="393" spans="1:42" ht="14.5" x14ac:dyDescent="0.35">
      <c r="A393" s="1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</row>
    <row r="394" spans="1:42" ht="14.5" x14ac:dyDescent="0.35">
      <c r="A394" s="1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</row>
    <row r="395" spans="1:42" ht="14.5" x14ac:dyDescent="0.35">
      <c r="A395" s="1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</row>
    <row r="396" spans="1:42" ht="14.5" x14ac:dyDescent="0.35">
      <c r="A396" s="1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</row>
    <row r="397" spans="1:42" ht="14.5" x14ac:dyDescent="0.35">
      <c r="A397" s="1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</row>
    <row r="398" spans="1:42" ht="14.5" x14ac:dyDescent="0.35">
      <c r="A398" s="1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</row>
    <row r="399" spans="1:42" ht="14.5" x14ac:dyDescent="0.35">
      <c r="A399" s="1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</row>
    <row r="400" spans="1:42" ht="14.5" x14ac:dyDescent="0.35">
      <c r="A400" s="1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</row>
    <row r="401" spans="1:42" ht="14.5" x14ac:dyDescent="0.35">
      <c r="A401" s="1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</row>
    <row r="402" spans="1:42" ht="14.5" x14ac:dyDescent="0.35">
      <c r="A402" s="1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</row>
    <row r="403" spans="1:42" ht="14.5" x14ac:dyDescent="0.35">
      <c r="A403" s="1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</row>
    <row r="404" spans="1:42" ht="14.5" x14ac:dyDescent="0.35">
      <c r="A404" s="1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</row>
    <row r="405" spans="1:42" ht="14.5" x14ac:dyDescent="0.35">
      <c r="A405" s="1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</row>
    <row r="406" spans="1:42" ht="14.5" x14ac:dyDescent="0.35">
      <c r="A406" s="1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</row>
    <row r="407" spans="1:42" ht="14.5" x14ac:dyDescent="0.35">
      <c r="A407" s="1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</row>
    <row r="408" spans="1:42" ht="14.5" x14ac:dyDescent="0.35">
      <c r="A408" s="1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</row>
    <row r="409" spans="1:42" ht="14.5" x14ac:dyDescent="0.35">
      <c r="A409" s="1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</row>
    <row r="410" spans="1:42" ht="14.5" x14ac:dyDescent="0.35">
      <c r="A410" s="1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</row>
    <row r="411" spans="1:42" ht="14.5" x14ac:dyDescent="0.35">
      <c r="A411" s="1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</row>
    <row r="412" spans="1:42" ht="14.5" x14ac:dyDescent="0.35">
      <c r="A412" s="1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</row>
    <row r="413" spans="1:42" ht="14.5" x14ac:dyDescent="0.35">
      <c r="A413" s="1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</row>
    <row r="414" spans="1:42" ht="14.5" x14ac:dyDescent="0.35">
      <c r="A414" s="1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</row>
    <row r="415" spans="1:42" ht="14.5" x14ac:dyDescent="0.35">
      <c r="A415" s="1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</row>
    <row r="416" spans="1:42" ht="14.5" x14ac:dyDescent="0.35">
      <c r="A416" s="1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</row>
    <row r="417" spans="1:42" ht="14.5" x14ac:dyDescent="0.35">
      <c r="A417" s="1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</row>
    <row r="418" spans="1:42" ht="14.5" x14ac:dyDescent="0.35">
      <c r="A418" s="1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</row>
    <row r="419" spans="1:42" ht="14.5" x14ac:dyDescent="0.35">
      <c r="A419" s="1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</row>
    <row r="420" spans="1:42" ht="14.5" x14ac:dyDescent="0.35">
      <c r="A420" s="1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</row>
    <row r="421" spans="1:42" ht="14.5" x14ac:dyDescent="0.35">
      <c r="A421" s="1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</row>
    <row r="422" spans="1:42" ht="14.5" x14ac:dyDescent="0.35">
      <c r="A422" s="1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</row>
    <row r="423" spans="1:42" ht="14.5" x14ac:dyDescent="0.35">
      <c r="A423" s="1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</row>
    <row r="424" spans="1:42" ht="14.5" x14ac:dyDescent="0.35">
      <c r="A424" s="1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</row>
    <row r="425" spans="1:42" ht="14.5" x14ac:dyDescent="0.35">
      <c r="A425" s="1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</row>
    <row r="426" spans="1:42" ht="14.5" x14ac:dyDescent="0.35">
      <c r="A426" s="1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</row>
    <row r="427" spans="1:42" ht="14.5" x14ac:dyDescent="0.35">
      <c r="A427" s="1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</row>
    <row r="428" spans="1:42" ht="14.5" x14ac:dyDescent="0.35">
      <c r="A428" s="1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</row>
    <row r="429" spans="1:42" ht="14.5" x14ac:dyDescent="0.35">
      <c r="A429" s="1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</row>
    <row r="430" spans="1:42" ht="14.5" x14ac:dyDescent="0.35">
      <c r="A430" s="1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</row>
    <row r="431" spans="1:42" ht="14.5" x14ac:dyDescent="0.35">
      <c r="A431" s="1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</row>
    <row r="432" spans="1:42" ht="14.5" x14ac:dyDescent="0.35">
      <c r="A432" s="1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</row>
    <row r="433" spans="1:42" ht="14.5" x14ac:dyDescent="0.35">
      <c r="A433" s="1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</row>
    <row r="434" spans="1:42" ht="14.5" x14ac:dyDescent="0.35">
      <c r="A434" s="1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</row>
    <row r="435" spans="1:42" ht="14.5" x14ac:dyDescent="0.35">
      <c r="A435" s="1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</row>
    <row r="436" spans="1:42" ht="14.5" x14ac:dyDescent="0.35">
      <c r="A436" s="1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</row>
    <row r="437" spans="1:42" ht="14.5" x14ac:dyDescent="0.35">
      <c r="A437" s="1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</row>
    <row r="438" spans="1:42" ht="14.5" x14ac:dyDescent="0.35">
      <c r="A438" s="1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</row>
    <row r="439" spans="1:42" ht="14.5" x14ac:dyDescent="0.35">
      <c r="A439" s="1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</row>
    <row r="440" spans="1:42" ht="14.5" x14ac:dyDescent="0.35">
      <c r="A440" s="1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</row>
    <row r="441" spans="1:42" ht="14.5" x14ac:dyDescent="0.35">
      <c r="A441" s="1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</row>
    <row r="442" spans="1:42" ht="14.5" x14ac:dyDescent="0.35">
      <c r="A442" s="1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</row>
    <row r="443" spans="1:42" ht="14.5" x14ac:dyDescent="0.35">
      <c r="A443" s="1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</row>
    <row r="444" spans="1:42" ht="14.5" x14ac:dyDescent="0.35">
      <c r="A444" s="1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</row>
    <row r="445" spans="1:42" ht="14.5" x14ac:dyDescent="0.35">
      <c r="A445" s="1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</row>
    <row r="446" spans="1:42" ht="14.5" x14ac:dyDescent="0.35">
      <c r="A446" s="1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</row>
    <row r="447" spans="1:42" ht="14.5" x14ac:dyDescent="0.35">
      <c r="A447" s="1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</row>
    <row r="448" spans="1:42" ht="14.5" x14ac:dyDescent="0.35">
      <c r="A448" s="1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</row>
    <row r="449" spans="1:42" ht="14.5" x14ac:dyDescent="0.35">
      <c r="A449" s="1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</row>
    <row r="450" spans="1:42" ht="14.5" x14ac:dyDescent="0.35">
      <c r="A450" s="1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</row>
    <row r="451" spans="1:42" ht="14.5" x14ac:dyDescent="0.35">
      <c r="A451" s="1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</row>
    <row r="452" spans="1:42" ht="14.5" x14ac:dyDescent="0.35">
      <c r="A452" s="1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</row>
    <row r="453" spans="1:42" ht="14.5" x14ac:dyDescent="0.35">
      <c r="A453" s="1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</row>
    <row r="454" spans="1:42" ht="14.5" x14ac:dyDescent="0.35">
      <c r="A454" s="1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</row>
    <row r="455" spans="1:42" ht="14.5" x14ac:dyDescent="0.35">
      <c r="A455" s="1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</row>
    <row r="456" spans="1:42" ht="14.5" x14ac:dyDescent="0.35">
      <c r="A456" s="1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</row>
    <row r="457" spans="1:42" ht="14.5" x14ac:dyDescent="0.35">
      <c r="A457" s="1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</row>
    <row r="458" spans="1:42" ht="14.5" x14ac:dyDescent="0.35">
      <c r="A458" s="1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</row>
    <row r="459" spans="1:42" ht="14.5" x14ac:dyDescent="0.35">
      <c r="A459" s="1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</row>
    <row r="460" spans="1:42" ht="14.5" x14ac:dyDescent="0.35">
      <c r="A460" s="1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</row>
    <row r="461" spans="1:42" ht="14.5" x14ac:dyDescent="0.35">
      <c r="A461" s="1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</row>
    <row r="462" spans="1:42" ht="14.5" x14ac:dyDescent="0.35">
      <c r="A462" s="1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</row>
    <row r="463" spans="1:42" ht="14.5" x14ac:dyDescent="0.35">
      <c r="A463" s="1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</row>
    <row r="464" spans="1:42" ht="14.5" x14ac:dyDescent="0.35">
      <c r="A464" s="1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</row>
    <row r="465" spans="1:42" ht="14.5" x14ac:dyDescent="0.35">
      <c r="A465" s="1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</row>
    <row r="466" spans="1:42" ht="14.5" x14ac:dyDescent="0.35">
      <c r="A466" s="1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</row>
    <row r="467" spans="1:42" ht="14.5" x14ac:dyDescent="0.35">
      <c r="A467" s="1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</row>
    <row r="468" spans="1:42" ht="14.5" x14ac:dyDescent="0.35">
      <c r="A468" s="1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</row>
    <row r="469" spans="1:42" ht="14.5" x14ac:dyDescent="0.35">
      <c r="A469" s="1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</row>
    <row r="470" spans="1:42" ht="14.5" x14ac:dyDescent="0.35">
      <c r="A470" s="1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</row>
    <row r="471" spans="1:42" ht="14.5" x14ac:dyDescent="0.35">
      <c r="A471" s="1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</row>
    <row r="472" spans="1:42" ht="14.5" x14ac:dyDescent="0.35">
      <c r="A472" s="1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</row>
    <row r="473" spans="1:42" ht="14.5" x14ac:dyDescent="0.35">
      <c r="A473" s="1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</row>
    <row r="474" spans="1:42" ht="14.5" x14ac:dyDescent="0.35">
      <c r="A474" s="1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</row>
    <row r="475" spans="1:42" ht="14.5" x14ac:dyDescent="0.35">
      <c r="A475" s="1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</row>
    <row r="476" spans="1:42" ht="14.5" x14ac:dyDescent="0.35">
      <c r="A476" s="1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</row>
    <row r="477" spans="1:42" ht="14.5" x14ac:dyDescent="0.35">
      <c r="A477" s="1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</row>
    <row r="478" spans="1:42" ht="14.5" x14ac:dyDescent="0.35">
      <c r="A478" s="1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</row>
    <row r="479" spans="1:42" ht="14.5" x14ac:dyDescent="0.35">
      <c r="A479" s="1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</row>
    <row r="480" spans="1:42" ht="14.5" x14ac:dyDescent="0.35">
      <c r="A480" s="1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</row>
    <row r="481" spans="1:42" ht="14.5" x14ac:dyDescent="0.35">
      <c r="A481" s="1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</row>
    <row r="482" spans="1:42" ht="14.5" x14ac:dyDescent="0.35">
      <c r="A482" s="1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</row>
    <row r="483" spans="1:42" ht="14.5" x14ac:dyDescent="0.35">
      <c r="A483" s="1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</row>
    <row r="484" spans="1:42" ht="14.5" x14ac:dyDescent="0.35">
      <c r="A484" s="1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</row>
    <row r="485" spans="1:42" ht="14.5" x14ac:dyDescent="0.35">
      <c r="A485" s="1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</row>
    <row r="486" spans="1:42" ht="14.5" x14ac:dyDescent="0.35">
      <c r="A486" s="1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</row>
    <row r="487" spans="1:42" ht="14.5" x14ac:dyDescent="0.35">
      <c r="A487" s="1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</row>
    <row r="488" spans="1:42" ht="14.5" x14ac:dyDescent="0.35">
      <c r="A488" s="1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</row>
    <row r="489" spans="1:42" ht="14.5" x14ac:dyDescent="0.35">
      <c r="A489" s="1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</row>
    <row r="490" spans="1:42" ht="14.5" x14ac:dyDescent="0.35">
      <c r="A490" s="1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</row>
    <row r="491" spans="1:42" ht="14.5" x14ac:dyDescent="0.35">
      <c r="A491" s="1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</row>
    <row r="492" spans="1:42" ht="14.5" x14ac:dyDescent="0.35">
      <c r="A492" s="1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</row>
    <row r="493" spans="1:42" ht="14.5" x14ac:dyDescent="0.35">
      <c r="A493" s="1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</row>
    <row r="494" spans="1:42" ht="14.5" x14ac:dyDescent="0.35">
      <c r="A494" s="1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</row>
    <row r="495" spans="1:42" ht="14.5" x14ac:dyDescent="0.35">
      <c r="A495" s="1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</row>
    <row r="496" spans="1:42" ht="14.5" x14ac:dyDescent="0.35">
      <c r="A496" s="1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</row>
    <row r="497" spans="1:42" ht="14.5" x14ac:dyDescent="0.35">
      <c r="A497" s="1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</row>
    <row r="498" spans="1:42" ht="14.5" x14ac:dyDescent="0.35">
      <c r="A498" s="1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</row>
    <row r="499" spans="1:42" ht="14.5" x14ac:dyDescent="0.35">
      <c r="A499" s="1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</row>
    <row r="500" spans="1:42" ht="14.5" x14ac:dyDescent="0.35">
      <c r="A500" s="1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</row>
    <row r="501" spans="1:42" ht="14.5" x14ac:dyDescent="0.35">
      <c r="A501" s="1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</row>
    <row r="502" spans="1:42" ht="14.5" x14ac:dyDescent="0.35">
      <c r="A502" s="1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</row>
    <row r="503" spans="1:42" ht="14.5" x14ac:dyDescent="0.35">
      <c r="A503" s="1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</row>
    <row r="504" spans="1:42" ht="14.5" x14ac:dyDescent="0.35">
      <c r="A504" s="1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</row>
    <row r="505" spans="1:42" ht="14.5" x14ac:dyDescent="0.35">
      <c r="A505" s="1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</row>
    <row r="506" spans="1:42" ht="14.5" x14ac:dyDescent="0.35">
      <c r="A506" s="1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</row>
    <row r="507" spans="1:42" ht="14.5" x14ac:dyDescent="0.35">
      <c r="A507" s="1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</row>
    <row r="508" spans="1:42" ht="14.5" x14ac:dyDescent="0.35">
      <c r="A508" s="1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</row>
    <row r="509" spans="1:42" ht="14.5" x14ac:dyDescent="0.35">
      <c r="A509" s="1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</row>
    <row r="510" spans="1:42" ht="14.5" x14ac:dyDescent="0.35">
      <c r="A510" s="1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</row>
    <row r="511" spans="1:42" ht="14.5" x14ac:dyDescent="0.35">
      <c r="A511" s="1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</row>
    <row r="512" spans="1:42" ht="14.5" x14ac:dyDescent="0.35">
      <c r="A512" s="1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</row>
    <row r="513" spans="1:42" ht="14.5" x14ac:dyDescent="0.35">
      <c r="A513" s="1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</row>
    <row r="514" spans="1:42" ht="14.5" x14ac:dyDescent="0.35">
      <c r="A514" s="1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</row>
    <row r="515" spans="1:42" ht="14.5" x14ac:dyDescent="0.35">
      <c r="A515" s="1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</row>
    <row r="516" spans="1:42" ht="14.5" x14ac:dyDescent="0.35">
      <c r="A516" s="1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</row>
    <row r="517" spans="1:42" ht="14.5" x14ac:dyDescent="0.35">
      <c r="A517" s="1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</row>
    <row r="518" spans="1:42" ht="14.5" x14ac:dyDescent="0.35">
      <c r="A518" s="1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</row>
    <row r="519" spans="1:42" ht="14.5" x14ac:dyDescent="0.35">
      <c r="A519" s="1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</row>
    <row r="520" spans="1:42" ht="14.5" x14ac:dyDescent="0.35">
      <c r="A520" s="1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</row>
    <row r="521" spans="1:42" ht="14.5" x14ac:dyDescent="0.35">
      <c r="A521" s="1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</row>
    <row r="522" spans="1:42" ht="14.5" x14ac:dyDescent="0.35">
      <c r="A522" s="1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</row>
    <row r="523" spans="1:42" ht="14.5" x14ac:dyDescent="0.35">
      <c r="A523" s="1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</row>
    <row r="524" spans="1:42" ht="14.5" x14ac:dyDescent="0.35">
      <c r="A524" s="1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</row>
    <row r="525" spans="1:42" ht="14.5" x14ac:dyDescent="0.35">
      <c r="A525" s="1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</row>
    <row r="526" spans="1:42" ht="14.5" x14ac:dyDescent="0.35">
      <c r="A526" s="1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</row>
    <row r="527" spans="1:42" ht="14.5" x14ac:dyDescent="0.35">
      <c r="A527" s="1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</row>
    <row r="528" spans="1:42" ht="14.5" x14ac:dyDescent="0.35">
      <c r="A528" s="1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</row>
    <row r="529" spans="1:42" ht="14.5" x14ac:dyDescent="0.35">
      <c r="A529" s="1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</row>
    <row r="530" spans="1:42" ht="14.5" x14ac:dyDescent="0.35">
      <c r="A530" s="1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</row>
    <row r="531" spans="1:42" ht="14.5" x14ac:dyDescent="0.35">
      <c r="A531" s="1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</row>
    <row r="532" spans="1:42" ht="14.5" x14ac:dyDescent="0.35">
      <c r="A532" s="1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</row>
    <row r="533" spans="1:42" ht="14.5" x14ac:dyDescent="0.35">
      <c r="A533" s="1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</row>
    <row r="534" spans="1:42" ht="14.5" x14ac:dyDescent="0.35">
      <c r="A534" s="1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</row>
    <row r="535" spans="1:42" ht="14.5" x14ac:dyDescent="0.35">
      <c r="A535" s="1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</row>
    <row r="536" spans="1:42" ht="14.5" x14ac:dyDescent="0.35">
      <c r="A536" s="1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</row>
    <row r="537" spans="1:42" ht="14.5" x14ac:dyDescent="0.35">
      <c r="A537" s="1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</row>
    <row r="538" spans="1:42" ht="14.5" x14ac:dyDescent="0.35">
      <c r="A538" s="1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</row>
    <row r="539" spans="1:42" ht="14.5" x14ac:dyDescent="0.35">
      <c r="A539" s="1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</row>
    <row r="540" spans="1:42" ht="14.5" x14ac:dyDescent="0.35">
      <c r="A540" s="1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</row>
    <row r="541" spans="1:42" ht="14.5" x14ac:dyDescent="0.35">
      <c r="A541" s="1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</row>
    <row r="542" spans="1:42" ht="14.5" x14ac:dyDescent="0.35">
      <c r="A542" s="1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</row>
    <row r="543" spans="1:42" ht="14.5" x14ac:dyDescent="0.35">
      <c r="A543" s="1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</row>
    <row r="544" spans="1:42" ht="14.5" x14ac:dyDescent="0.35">
      <c r="A544" s="1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</row>
    <row r="545" spans="1:42" ht="14.5" x14ac:dyDescent="0.35">
      <c r="A545" s="1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</row>
    <row r="546" spans="1:42" ht="14.5" x14ac:dyDescent="0.35">
      <c r="A546" s="1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</row>
    <row r="547" spans="1:42" ht="14.5" x14ac:dyDescent="0.35">
      <c r="A547" s="1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</row>
    <row r="548" spans="1:42" ht="14.5" x14ac:dyDescent="0.35">
      <c r="A548" s="1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</row>
    <row r="549" spans="1:42" ht="14.5" x14ac:dyDescent="0.35">
      <c r="A549" s="1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</row>
    <row r="550" spans="1:42" ht="14.5" x14ac:dyDescent="0.35">
      <c r="A550" s="1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</row>
    <row r="551" spans="1:42" ht="14.5" x14ac:dyDescent="0.35">
      <c r="A551" s="1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</row>
    <row r="552" spans="1:42" ht="14.5" x14ac:dyDescent="0.35">
      <c r="A552" s="1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</row>
    <row r="553" spans="1:42" ht="14.5" x14ac:dyDescent="0.35">
      <c r="A553" s="1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</row>
    <row r="554" spans="1:42" ht="14.5" x14ac:dyDescent="0.35">
      <c r="A554" s="1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</row>
    <row r="555" spans="1:42" ht="14.5" x14ac:dyDescent="0.35">
      <c r="A555" s="1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</row>
    <row r="556" spans="1:42" ht="14.5" x14ac:dyDescent="0.35">
      <c r="A556" s="1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</row>
    <row r="557" spans="1:42" ht="14.5" x14ac:dyDescent="0.35">
      <c r="A557" s="1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</row>
    <row r="558" spans="1:42" ht="14.5" x14ac:dyDescent="0.35">
      <c r="A558" s="1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</row>
    <row r="559" spans="1:42" ht="14.5" x14ac:dyDescent="0.35">
      <c r="A559" s="1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</row>
    <row r="560" spans="1:42" ht="14.5" x14ac:dyDescent="0.35">
      <c r="A560" s="1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</row>
    <row r="561" spans="1:42" ht="14.5" x14ac:dyDescent="0.35">
      <c r="A561" s="1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</row>
    <row r="562" spans="1:42" ht="14.5" x14ac:dyDescent="0.35">
      <c r="A562" s="1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</row>
    <row r="563" spans="1:42" ht="14.5" x14ac:dyDescent="0.35">
      <c r="A563" s="1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</row>
    <row r="564" spans="1:42" ht="14.5" x14ac:dyDescent="0.35">
      <c r="A564" s="1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</row>
    <row r="565" spans="1:42" ht="14.5" x14ac:dyDescent="0.35">
      <c r="A565" s="1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</row>
    <row r="566" spans="1:42" ht="14.5" x14ac:dyDescent="0.35">
      <c r="A566" s="1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</row>
    <row r="567" spans="1:42" ht="14.5" x14ac:dyDescent="0.35">
      <c r="A567" s="1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</row>
    <row r="568" spans="1:42" ht="14.5" x14ac:dyDescent="0.35">
      <c r="A568" s="1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</row>
    <row r="569" spans="1:42" ht="14.5" x14ac:dyDescent="0.35">
      <c r="A569" s="1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</row>
    <row r="570" spans="1:42" ht="14.5" x14ac:dyDescent="0.35">
      <c r="A570" s="1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</row>
    <row r="571" spans="1:42" ht="14.5" x14ac:dyDescent="0.35">
      <c r="A571" s="1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</row>
    <row r="572" spans="1:42" ht="14.5" x14ac:dyDescent="0.35">
      <c r="A572" s="1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</row>
    <row r="573" spans="1:42" ht="14.5" x14ac:dyDescent="0.35">
      <c r="A573" s="1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</row>
    <row r="574" spans="1:42" ht="14.5" x14ac:dyDescent="0.35">
      <c r="A574" s="1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</row>
    <row r="575" spans="1:42" ht="14.5" x14ac:dyDescent="0.35">
      <c r="A575" s="1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</row>
    <row r="576" spans="1:42" ht="14.5" x14ac:dyDescent="0.35">
      <c r="A576" s="1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</row>
    <row r="577" spans="1:42" ht="14.5" x14ac:dyDescent="0.35">
      <c r="A577" s="1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</row>
    <row r="578" spans="1:42" ht="14.5" x14ac:dyDescent="0.35">
      <c r="A578" s="1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</row>
    <row r="579" spans="1:42" ht="14.5" x14ac:dyDescent="0.35">
      <c r="A579" s="1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</row>
    <row r="580" spans="1:42" ht="14.5" x14ac:dyDescent="0.35">
      <c r="A580" s="1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</row>
    <row r="581" spans="1:42" ht="14.5" x14ac:dyDescent="0.35">
      <c r="A581" s="1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</row>
    <row r="582" spans="1:42" ht="14.5" x14ac:dyDescent="0.35">
      <c r="A582" s="1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</row>
    <row r="583" spans="1:42" ht="14.5" x14ac:dyDescent="0.35">
      <c r="A583" s="1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</row>
    <row r="584" spans="1:42" ht="14.5" x14ac:dyDescent="0.35">
      <c r="A584" s="1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</row>
    <row r="585" spans="1:42" ht="14.5" x14ac:dyDescent="0.35">
      <c r="A585" s="1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</row>
    <row r="586" spans="1:42" ht="14.5" x14ac:dyDescent="0.35">
      <c r="A586" s="1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</row>
    <row r="587" spans="1:42" ht="14.5" x14ac:dyDescent="0.35">
      <c r="A587" s="1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</row>
    <row r="588" spans="1:42" ht="14.5" x14ac:dyDescent="0.35">
      <c r="A588" s="1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</row>
    <row r="589" spans="1:42" ht="14.5" x14ac:dyDescent="0.35">
      <c r="A589" s="1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</row>
    <row r="590" spans="1:42" ht="14.5" x14ac:dyDescent="0.35">
      <c r="A590" s="1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</row>
    <row r="591" spans="1:42" ht="14.5" x14ac:dyDescent="0.35">
      <c r="A591" s="1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</row>
    <row r="592" spans="1:42" ht="14.5" x14ac:dyDescent="0.35">
      <c r="A592" s="1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</row>
    <row r="593" spans="1:42" ht="14.5" x14ac:dyDescent="0.35">
      <c r="A593" s="1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</row>
    <row r="594" spans="1:42" ht="14.5" x14ac:dyDescent="0.35">
      <c r="A594" s="1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</row>
    <row r="595" spans="1:42" ht="14.5" x14ac:dyDescent="0.35">
      <c r="A595" s="1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</row>
    <row r="596" spans="1:42" ht="14.5" x14ac:dyDescent="0.35">
      <c r="A596" s="1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</row>
    <row r="597" spans="1:42" ht="14.5" x14ac:dyDescent="0.35">
      <c r="A597" s="1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</row>
    <row r="598" spans="1:42" ht="14.5" x14ac:dyDescent="0.35">
      <c r="A598" s="1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</row>
    <row r="599" spans="1:42" ht="14.5" x14ac:dyDescent="0.35">
      <c r="A599" s="1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</row>
    <row r="600" spans="1:42" ht="14.5" x14ac:dyDescent="0.35">
      <c r="A600" s="1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</row>
    <row r="601" spans="1:42" ht="14.5" x14ac:dyDescent="0.35">
      <c r="A601" s="1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</row>
    <row r="602" spans="1:42" ht="14.5" x14ac:dyDescent="0.35">
      <c r="A602" s="1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</row>
    <row r="603" spans="1:42" ht="14.5" x14ac:dyDescent="0.35">
      <c r="A603" s="1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</row>
    <row r="604" spans="1:42" ht="14.5" x14ac:dyDescent="0.35">
      <c r="A604" s="1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</row>
    <row r="605" spans="1:42" ht="14.5" x14ac:dyDescent="0.35">
      <c r="A605" s="1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</row>
    <row r="606" spans="1:42" ht="14.5" x14ac:dyDescent="0.35">
      <c r="A606" s="1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</row>
    <row r="607" spans="1:42" ht="14.5" x14ac:dyDescent="0.35">
      <c r="A607" s="1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</row>
    <row r="608" spans="1:42" ht="14.5" x14ac:dyDescent="0.35">
      <c r="A608" s="1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</row>
    <row r="609" spans="1:42" ht="14.5" x14ac:dyDescent="0.35">
      <c r="A609" s="1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</row>
    <row r="610" spans="1:42" ht="14.5" x14ac:dyDescent="0.35">
      <c r="A610" s="1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</row>
    <row r="611" spans="1:42" ht="14.5" x14ac:dyDescent="0.35">
      <c r="A611" s="1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</row>
    <row r="612" spans="1:42" ht="14.5" x14ac:dyDescent="0.35">
      <c r="A612" s="1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</row>
    <row r="613" spans="1:42" ht="14.5" x14ac:dyDescent="0.35">
      <c r="A613" s="1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</row>
    <row r="614" spans="1:42" ht="14.5" x14ac:dyDescent="0.35">
      <c r="A614" s="1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</row>
    <row r="615" spans="1:42" ht="14.5" x14ac:dyDescent="0.35">
      <c r="A615" s="1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</row>
    <row r="616" spans="1:42" ht="14.5" x14ac:dyDescent="0.35">
      <c r="A616" s="1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</row>
    <row r="617" spans="1:42" ht="14.5" x14ac:dyDescent="0.35">
      <c r="A617" s="1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</row>
    <row r="618" spans="1:42" ht="14.5" x14ac:dyDescent="0.35">
      <c r="A618" s="1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</row>
    <row r="619" spans="1:42" ht="14.5" x14ac:dyDescent="0.35">
      <c r="A619" s="1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</row>
    <row r="620" spans="1:42" ht="14.5" x14ac:dyDescent="0.35">
      <c r="A620" s="1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</row>
    <row r="621" spans="1:42" ht="14.5" x14ac:dyDescent="0.35">
      <c r="A621" s="1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</row>
    <row r="622" spans="1:42" ht="14.5" x14ac:dyDescent="0.35">
      <c r="A622" s="1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</row>
    <row r="623" spans="1:42" ht="14.5" x14ac:dyDescent="0.35">
      <c r="A623" s="1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</row>
    <row r="624" spans="1:42" ht="14.5" x14ac:dyDescent="0.35">
      <c r="A624" s="1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</row>
    <row r="625" spans="1:42" ht="14.5" x14ac:dyDescent="0.35">
      <c r="A625" s="1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</row>
    <row r="626" spans="1:42" ht="14.5" x14ac:dyDescent="0.35">
      <c r="A626" s="1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</row>
    <row r="627" spans="1:42" ht="14.5" x14ac:dyDescent="0.35">
      <c r="A627" s="1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</row>
    <row r="628" spans="1:42" ht="14.5" x14ac:dyDescent="0.35">
      <c r="A628" s="1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</row>
    <row r="629" spans="1:42" ht="14.5" x14ac:dyDescent="0.35">
      <c r="A629" s="1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</row>
    <row r="630" spans="1:42" ht="14.5" x14ac:dyDescent="0.35">
      <c r="A630" s="1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</row>
    <row r="631" spans="1:42" ht="14.5" x14ac:dyDescent="0.35">
      <c r="A631" s="1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</row>
    <row r="632" spans="1:42" ht="14.5" x14ac:dyDescent="0.35">
      <c r="A632" s="1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</row>
    <row r="633" spans="1:42" ht="14.5" x14ac:dyDescent="0.35">
      <c r="A633" s="1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</row>
    <row r="634" spans="1:42" ht="14.5" x14ac:dyDescent="0.35">
      <c r="A634" s="1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</row>
    <row r="635" spans="1:42" ht="14.5" x14ac:dyDescent="0.35">
      <c r="A635" s="1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</row>
    <row r="636" spans="1:42" ht="14.5" x14ac:dyDescent="0.35">
      <c r="A636" s="1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</row>
    <row r="637" spans="1:42" ht="14.5" x14ac:dyDescent="0.35">
      <c r="A637" s="1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</row>
    <row r="638" spans="1:42" ht="14.5" x14ac:dyDescent="0.35">
      <c r="A638" s="1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</row>
    <row r="639" spans="1:42" ht="14.5" x14ac:dyDescent="0.35">
      <c r="A639" s="1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</row>
    <row r="640" spans="1:42" ht="14.5" x14ac:dyDescent="0.35">
      <c r="A640" s="1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</row>
    <row r="641" spans="1:42" ht="14.5" x14ac:dyDescent="0.35">
      <c r="A641" s="1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</row>
    <row r="642" spans="1:42" ht="14.5" x14ac:dyDescent="0.35">
      <c r="A642" s="1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</row>
    <row r="643" spans="1:42" ht="14.5" x14ac:dyDescent="0.35">
      <c r="A643" s="1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</row>
    <row r="644" spans="1:42" ht="14.5" x14ac:dyDescent="0.35">
      <c r="A644" s="1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</row>
    <row r="645" spans="1:42" ht="14.5" x14ac:dyDescent="0.35">
      <c r="A645" s="1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</row>
    <row r="646" spans="1:42" ht="14.5" x14ac:dyDescent="0.35">
      <c r="A646" s="1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</row>
    <row r="647" spans="1:42" ht="14.5" x14ac:dyDescent="0.35">
      <c r="A647" s="1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</row>
    <row r="648" spans="1:42" ht="14.5" x14ac:dyDescent="0.35">
      <c r="A648" s="1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</row>
    <row r="649" spans="1:42" ht="14.5" x14ac:dyDescent="0.35">
      <c r="A649" s="1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</row>
    <row r="650" spans="1:42" ht="14.5" x14ac:dyDescent="0.35">
      <c r="A650" s="1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</row>
    <row r="651" spans="1:42" ht="14.5" x14ac:dyDescent="0.35">
      <c r="A651" s="1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</row>
    <row r="652" spans="1:42" ht="14.5" x14ac:dyDescent="0.35">
      <c r="A652" s="1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</row>
    <row r="653" spans="1:42" ht="14.5" x14ac:dyDescent="0.35">
      <c r="A653" s="1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</row>
    <row r="654" spans="1:42" ht="14.5" x14ac:dyDescent="0.35">
      <c r="A654" s="1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</row>
    <row r="655" spans="1:42" ht="14.5" x14ac:dyDescent="0.35">
      <c r="A655" s="1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</row>
    <row r="656" spans="1:42" ht="14.5" x14ac:dyDescent="0.35">
      <c r="A656" s="1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</row>
    <row r="657" spans="1:42" ht="14.5" x14ac:dyDescent="0.35">
      <c r="A657" s="1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</row>
    <row r="658" spans="1:42" ht="14.5" x14ac:dyDescent="0.35">
      <c r="A658" s="1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</row>
    <row r="659" spans="1:42" ht="14.5" x14ac:dyDescent="0.35">
      <c r="A659" s="1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</row>
    <row r="660" spans="1:42" ht="14.5" x14ac:dyDescent="0.35">
      <c r="A660" s="1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</row>
    <row r="661" spans="1:42" ht="14.5" x14ac:dyDescent="0.35">
      <c r="A661" s="1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</row>
    <row r="662" spans="1:42" ht="14.5" x14ac:dyDescent="0.35">
      <c r="A662" s="1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</row>
    <row r="663" spans="1:42" ht="14.5" x14ac:dyDescent="0.35">
      <c r="A663" s="1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</row>
    <row r="664" spans="1:42" ht="14.5" x14ac:dyDescent="0.35">
      <c r="A664" s="1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</row>
    <row r="665" spans="1:42" ht="14.5" x14ac:dyDescent="0.35">
      <c r="A665" s="1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</row>
    <row r="666" spans="1:42" ht="14.5" x14ac:dyDescent="0.35">
      <c r="A666" s="1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</row>
    <row r="667" spans="1:42" ht="14.5" x14ac:dyDescent="0.35">
      <c r="A667" s="1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</row>
    <row r="668" spans="1:42" ht="14.5" x14ac:dyDescent="0.35">
      <c r="A668" s="1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</row>
    <row r="669" spans="1:42" ht="14.5" x14ac:dyDescent="0.35">
      <c r="A669" s="1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</row>
    <row r="670" spans="1:42" ht="14.5" x14ac:dyDescent="0.35">
      <c r="A670" s="1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</row>
    <row r="671" spans="1:42" ht="14.5" x14ac:dyDescent="0.35">
      <c r="A671" s="1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</row>
    <row r="672" spans="1:42" ht="14.5" x14ac:dyDescent="0.35">
      <c r="A672" s="1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</row>
    <row r="673" spans="1:42" ht="14.5" x14ac:dyDescent="0.35">
      <c r="A673" s="1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</row>
    <row r="674" spans="1:42" ht="14.5" x14ac:dyDescent="0.35">
      <c r="A674" s="1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</row>
    <row r="675" spans="1:42" ht="14.5" x14ac:dyDescent="0.35">
      <c r="A675" s="1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</row>
    <row r="676" spans="1:42" ht="14.5" x14ac:dyDescent="0.35">
      <c r="A676" s="1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</row>
    <row r="677" spans="1:42" ht="14.5" x14ac:dyDescent="0.35">
      <c r="A677" s="1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</row>
    <row r="678" spans="1:42" ht="14.5" x14ac:dyDescent="0.35">
      <c r="A678" s="1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</row>
    <row r="679" spans="1:42" ht="14.5" x14ac:dyDescent="0.35">
      <c r="A679" s="1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</row>
    <row r="680" spans="1:42" ht="14.5" x14ac:dyDescent="0.35">
      <c r="A680" s="1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</row>
    <row r="681" spans="1:42" ht="14.5" x14ac:dyDescent="0.35">
      <c r="A681" s="1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</row>
    <row r="682" spans="1:42" ht="14.5" x14ac:dyDescent="0.35">
      <c r="A682" s="1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</row>
    <row r="683" spans="1:42" ht="14.5" x14ac:dyDescent="0.35">
      <c r="A683" s="1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</row>
    <row r="684" spans="1:42" ht="14.5" x14ac:dyDescent="0.35">
      <c r="A684" s="1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</row>
    <row r="685" spans="1:42" ht="14.5" x14ac:dyDescent="0.35">
      <c r="A685" s="1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</row>
    <row r="686" spans="1:42" ht="14.5" x14ac:dyDescent="0.35">
      <c r="A686" s="1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</row>
    <row r="687" spans="1:42" ht="14.5" x14ac:dyDescent="0.35">
      <c r="A687" s="1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</row>
    <row r="688" spans="1:42" ht="14.5" x14ac:dyDescent="0.35">
      <c r="A688" s="1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</row>
    <row r="689" spans="1:42" ht="14.5" x14ac:dyDescent="0.35">
      <c r="A689" s="1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</row>
    <row r="690" spans="1:42" ht="14.5" x14ac:dyDescent="0.35">
      <c r="A690" s="1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</row>
    <row r="691" spans="1:42" ht="14.5" x14ac:dyDescent="0.35">
      <c r="A691" s="1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</row>
    <row r="692" spans="1:42" ht="14.5" x14ac:dyDescent="0.35">
      <c r="A692" s="1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</row>
    <row r="693" spans="1:42" ht="14.5" x14ac:dyDescent="0.35">
      <c r="A693" s="1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</row>
    <row r="694" spans="1:42" ht="14.5" x14ac:dyDescent="0.35">
      <c r="A694" s="1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</row>
    <row r="695" spans="1:42" ht="14.5" x14ac:dyDescent="0.35">
      <c r="A695" s="1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</row>
    <row r="696" spans="1:42" ht="14.5" x14ac:dyDescent="0.35">
      <c r="A696" s="1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</row>
    <row r="697" spans="1:42" ht="14.5" x14ac:dyDescent="0.35">
      <c r="A697" s="1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</row>
    <row r="698" spans="1:42" ht="14.5" x14ac:dyDescent="0.35">
      <c r="A698" s="1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</row>
    <row r="699" spans="1:42" ht="14.5" x14ac:dyDescent="0.35">
      <c r="A699" s="1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</row>
    <row r="700" spans="1:42" ht="14.5" x14ac:dyDescent="0.35">
      <c r="A700" s="1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</row>
    <row r="701" spans="1:42" ht="14.5" x14ac:dyDescent="0.35">
      <c r="A701" s="1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</row>
    <row r="702" spans="1:42" ht="14.5" x14ac:dyDescent="0.35">
      <c r="A702" s="1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</row>
    <row r="703" spans="1:42" ht="14.5" x14ac:dyDescent="0.35">
      <c r="A703" s="1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</row>
    <row r="704" spans="1:42" ht="14.5" x14ac:dyDescent="0.35">
      <c r="A704" s="1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</row>
    <row r="705" spans="1:42" ht="14.5" x14ac:dyDescent="0.35">
      <c r="A705" s="1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</row>
    <row r="706" spans="1:42" ht="14.5" x14ac:dyDescent="0.35">
      <c r="A706" s="1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</row>
    <row r="707" spans="1:42" ht="14.5" x14ac:dyDescent="0.35">
      <c r="A707" s="1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</row>
    <row r="708" spans="1:42" ht="14.5" x14ac:dyDescent="0.35">
      <c r="A708" s="1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</row>
    <row r="709" spans="1:42" ht="14.5" x14ac:dyDescent="0.35">
      <c r="A709" s="1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</row>
    <row r="710" spans="1:42" ht="14.5" x14ac:dyDescent="0.35">
      <c r="A710" s="1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</row>
    <row r="711" spans="1:42" ht="14.5" x14ac:dyDescent="0.35">
      <c r="A711" s="1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</row>
    <row r="712" spans="1:42" ht="14.5" x14ac:dyDescent="0.35">
      <c r="A712" s="1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</row>
    <row r="713" spans="1:42" ht="14.5" x14ac:dyDescent="0.35">
      <c r="A713" s="1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</row>
    <row r="714" spans="1:42" ht="14.5" x14ac:dyDescent="0.35">
      <c r="A714" s="1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</row>
    <row r="715" spans="1:42" ht="14.5" x14ac:dyDescent="0.35">
      <c r="A715" s="1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</row>
    <row r="716" spans="1:42" ht="14.5" x14ac:dyDescent="0.35">
      <c r="A716" s="1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</row>
    <row r="717" spans="1:42" ht="14.5" x14ac:dyDescent="0.35">
      <c r="A717" s="1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</row>
    <row r="718" spans="1:42" ht="14.5" x14ac:dyDescent="0.35">
      <c r="A718" s="1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</row>
    <row r="719" spans="1:42" ht="14.5" x14ac:dyDescent="0.35">
      <c r="A719" s="1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</row>
    <row r="720" spans="1:42" ht="14.5" x14ac:dyDescent="0.35">
      <c r="A720" s="1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</row>
    <row r="721" spans="1:42" ht="14.5" x14ac:dyDescent="0.35">
      <c r="A721" s="1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</row>
    <row r="722" spans="1:42" ht="14.5" x14ac:dyDescent="0.35">
      <c r="A722" s="1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</row>
    <row r="723" spans="1:42" ht="14.5" x14ac:dyDescent="0.35">
      <c r="A723" s="1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</row>
    <row r="724" spans="1:42" ht="14.5" x14ac:dyDescent="0.35">
      <c r="A724" s="1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</row>
    <row r="725" spans="1:42" ht="14.5" x14ac:dyDescent="0.35">
      <c r="A725" s="1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</row>
    <row r="726" spans="1:42" ht="14.5" x14ac:dyDescent="0.35">
      <c r="A726" s="1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</row>
    <row r="727" spans="1:42" ht="14.5" x14ac:dyDescent="0.35">
      <c r="A727" s="1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</row>
    <row r="728" spans="1:42" ht="14.5" x14ac:dyDescent="0.35">
      <c r="A728" s="1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</row>
    <row r="729" spans="1:42" ht="14.5" x14ac:dyDescent="0.35">
      <c r="A729" s="1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</row>
    <row r="730" spans="1:42" ht="14.5" x14ac:dyDescent="0.35">
      <c r="A730" s="1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</row>
    <row r="731" spans="1:42" ht="14.5" x14ac:dyDescent="0.35">
      <c r="A731" s="1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</row>
    <row r="732" spans="1:42" ht="14.5" x14ac:dyDescent="0.35">
      <c r="A732" s="1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</row>
    <row r="733" spans="1:42" ht="14.5" x14ac:dyDescent="0.35">
      <c r="A733" s="1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</row>
    <row r="734" spans="1:42" ht="14.5" x14ac:dyDescent="0.35">
      <c r="A734" s="1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</row>
    <row r="735" spans="1:42" ht="14.5" x14ac:dyDescent="0.35">
      <c r="A735" s="1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</row>
    <row r="736" spans="1:42" ht="14.5" x14ac:dyDescent="0.35">
      <c r="A736" s="1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</row>
    <row r="737" spans="1:42" ht="14.5" x14ac:dyDescent="0.35">
      <c r="A737" s="1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</row>
    <row r="738" spans="1:42" ht="14.5" x14ac:dyDescent="0.35">
      <c r="A738" s="1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</row>
    <row r="739" spans="1:42" ht="14.5" x14ac:dyDescent="0.35">
      <c r="A739" s="1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</row>
    <row r="740" spans="1:42" ht="14.5" x14ac:dyDescent="0.35">
      <c r="A740" s="1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</row>
    <row r="741" spans="1:42" ht="14.5" x14ac:dyDescent="0.35">
      <c r="A741" s="1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</row>
    <row r="742" spans="1:42" ht="14.5" x14ac:dyDescent="0.35">
      <c r="A742" s="1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</row>
    <row r="743" spans="1:42" ht="14.5" x14ac:dyDescent="0.35">
      <c r="A743" s="1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</row>
    <row r="744" spans="1:42" ht="14.5" x14ac:dyDescent="0.35">
      <c r="A744" s="1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</row>
    <row r="745" spans="1:42" ht="14.5" x14ac:dyDescent="0.35">
      <c r="A745" s="1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</row>
    <row r="746" spans="1:42" ht="14.5" x14ac:dyDescent="0.35">
      <c r="A746" s="1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</row>
    <row r="747" spans="1:42" ht="14.5" x14ac:dyDescent="0.35">
      <c r="A747" s="1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</row>
    <row r="748" spans="1:42" ht="14.5" x14ac:dyDescent="0.35">
      <c r="A748" s="1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</row>
    <row r="749" spans="1:42" ht="14.5" x14ac:dyDescent="0.35">
      <c r="A749" s="1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</row>
    <row r="750" spans="1:42" ht="14.5" x14ac:dyDescent="0.35">
      <c r="A750" s="1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</row>
    <row r="751" spans="1:42" ht="14.5" x14ac:dyDescent="0.35">
      <c r="A751" s="1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</row>
    <row r="752" spans="1:42" ht="14.5" x14ac:dyDescent="0.35">
      <c r="A752" s="1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</row>
    <row r="753" spans="1:42" ht="14.5" x14ac:dyDescent="0.35">
      <c r="A753" s="1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</row>
    <row r="754" spans="1:42" ht="14.5" x14ac:dyDescent="0.35">
      <c r="A754" s="1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</row>
    <row r="755" spans="1:42" ht="14.5" x14ac:dyDescent="0.35">
      <c r="A755" s="1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</row>
    <row r="756" spans="1:42" ht="14.5" x14ac:dyDescent="0.35">
      <c r="A756" s="1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</row>
    <row r="757" spans="1:42" ht="14.5" x14ac:dyDescent="0.35">
      <c r="A757" s="1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</row>
    <row r="758" spans="1:42" ht="14.5" x14ac:dyDescent="0.35">
      <c r="A758" s="1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</row>
    <row r="759" spans="1:42" ht="14.5" x14ac:dyDescent="0.35">
      <c r="A759" s="1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</row>
    <row r="760" spans="1:42" ht="14.5" x14ac:dyDescent="0.35">
      <c r="A760" s="1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</row>
    <row r="761" spans="1:42" ht="14.5" x14ac:dyDescent="0.35">
      <c r="A761" s="1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</row>
    <row r="762" spans="1:42" ht="14.5" x14ac:dyDescent="0.35">
      <c r="A762" s="1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</row>
    <row r="763" spans="1:42" ht="14.5" x14ac:dyDescent="0.35">
      <c r="A763" s="1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</row>
    <row r="764" spans="1:42" ht="14.5" x14ac:dyDescent="0.35">
      <c r="A764" s="1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</row>
    <row r="765" spans="1:42" ht="14.5" x14ac:dyDescent="0.35">
      <c r="A765" s="1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</row>
    <row r="766" spans="1:42" ht="14.5" x14ac:dyDescent="0.35">
      <c r="A766" s="1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</row>
    <row r="767" spans="1:42" ht="14.5" x14ac:dyDescent="0.35">
      <c r="A767" s="1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</row>
    <row r="768" spans="1:42" ht="14.5" x14ac:dyDescent="0.35">
      <c r="A768" s="1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</row>
    <row r="769" spans="1:42" ht="14.5" x14ac:dyDescent="0.35">
      <c r="A769" s="1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</row>
    <row r="770" spans="1:42" ht="14.5" x14ac:dyDescent="0.35">
      <c r="A770" s="1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</row>
    <row r="771" spans="1:42" ht="14.5" x14ac:dyDescent="0.35">
      <c r="A771" s="1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</row>
    <row r="772" spans="1:42" ht="14.5" x14ac:dyDescent="0.35">
      <c r="A772" s="1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</row>
    <row r="773" spans="1:42" ht="14.5" x14ac:dyDescent="0.35">
      <c r="A773" s="1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</row>
    <row r="774" spans="1:42" ht="14.5" x14ac:dyDescent="0.35">
      <c r="A774" s="1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</row>
    <row r="775" spans="1:42" ht="14.5" x14ac:dyDescent="0.35">
      <c r="A775" s="1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</row>
    <row r="776" spans="1:42" ht="14.5" x14ac:dyDescent="0.35">
      <c r="A776" s="1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</row>
    <row r="777" spans="1:42" ht="14.5" x14ac:dyDescent="0.35">
      <c r="A777" s="1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</row>
    <row r="778" spans="1:42" ht="14.5" x14ac:dyDescent="0.35">
      <c r="A778" s="1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</row>
    <row r="779" spans="1:42" ht="14.5" x14ac:dyDescent="0.35">
      <c r="A779" s="1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</row>
    <row r="780" spans="1:42" ht="14.5" x14ac:dyDescent="0.35">
      <c r="A780" s="1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</row>
    <row r="781" spans="1:42" ht="14.5" x14ac:dyDescent="0.35">
      <c r="A781" s="1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</row>
    <row r="782" spans="1:42" ht="14.5" x14ac:dyDescent="0.35">
      <c r="A782" s="1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</row>
    <row r="783" spans="1:42" ht="14.5" x14ac:dyDescent="0.35">
      <c r="A783" s="1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</row>
    <row r="784" spans="1:42" ht="14.5" x14ac:dyDescent="0.35">
      <c r="A784" s="1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</row>
    <row r="785" spans="1:42" ht="14.5" x14ac:dyDescent="0.35">
      <c r="A785" s="1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</row>
    <row r="786" spans="1:42" ht="14.5" x14ac:dyDescent="0.35">
      <c r="A786" s="1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</row>
    <row r="787" spans="1:42" ht="14.5" x14ac:dyDescent="0.35">
      <c r="A787" s="1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</row>
    <row r="788" spans="1:42" ht="14.5" x14ac:dyDescent="0.35">
      <c r="A788" s="1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</row>
    <row r="789" spans="1:42" ht="14.5" x14ac:dyDescent="0.35">
      <c r="A789" s="1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</row>
    <row r="790" spans="1:42" ht="14.5" x14ac:dyDescent="0.35">
      <c r="A790" s="1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</row>
    <row r="791" spans="1:42" ht="14.5" x14ac:dyDescent="0.35">
      <c r="A791" s="1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</row>
    <row r="792" spans="1:42" ht="14.5" x14ac:dyDescent="0.35">
      <c r="A792" s="1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</row>
    <row r="793" spans="1:42" ht="14.5" x14ac:dyDescent="0.35">
      <c r="A793" s="1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</row>
    <row r="794" spans="1:42" ht="14.5" x14ac:dyDescent="0.35">
      <c r="A794" s="1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</row>
    <row r="795" spans="1:42" ht="14.5" x14ac:dyDescent="0.35">
      <c r="A795" s="1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</row>
    <row r="796" spans="1:42" ht="14.5" x14ac:dyDescent="0.35">
      <c r="A796" s="1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</row>
    <row r="797" spans="1:42" ht="14.5" x14ac:dyDescent="0.35">
      <c r="A797" s="1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</row>
    <row r="798" spans="1:42" ht="14.5" x14ac:dyDescent="0.35">
      <c r="A798" s="1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</row>
    <row r="799" spans="1:42" ht="14.5" x14ac:dyDescent="0.35">
      <c r="A799" s="1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</row>
    <row r="800" spans="1:42" ht="14.5" x14ac:dyDescent="0.35">
      <c r="A800" s="1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</row>
    <row r="801" spans="1:42" ht="14.5" x14ac:dyDescent="0.35">
      <c r="A801" s="1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</row>
    <row r="802" spans="1:42" ht="14.5" x14ac:dyDescent="0.35">
      <c r="A802" s="1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</row>
    <row r="803" spans="1:42" ht="14.5" x14ac:dyDescent="0.35">
      <c r="A803" s="1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</row>
    <row r="804" spans="1:42" ht="14.5" x14ac:dyDescent="0.35">
      <c r="A804" s="1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</row>
    <row r="805" spans="1:42" ht="14.5" x14ac:dyDescent="0.35">
      <c r="A805" s="1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</row>
    <row r="806" spans="1:42" ht="14.5" x14ac:dyDescent="0.35">
      <c r="A806" s="1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</row>
    <row r="807" spans="1:42" ht="14.5" x14ac:dyDescent="0.35">
      <c r="A807" s="1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</row>
    <row r="808" spans="1:42" ht="14.5" x14ac:dyDescent="0.35">
      <c r="A808" s="1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</row>
    <row r="809" spans="1:42" ht="14.5" x14ac:dyDescent="0.35">
      <c r="A809" s="1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</row>
    <row r="810" spans="1:42" ht="14.5" x14ac:dyDescent="0.35">
      <c r="A810" s="1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</row>
    <row r="811" spans="1:42" ht="14.5" x14ac:dyDescent="0.35">
      <c r="A811" s="1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</row>
    <row r="812" spans="1:42" ht="14.5" x14ac:dyDescent="0.35">
      <c r="A812" s="1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</row>
    <row r="813" spans="1:42" ht="14.5" x14ac:dyDescent="0.35">
      <c r="A813" s="1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</row>
    <row r="814" spans="1:42" ht="14.5" x14ac:dyDescent="0.35">
      <c r="A814" s="1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</row>
    <row r="815" spans="1:42" ht="14.5" x14ac:dyDescent="0.35">
      <c r="A815" s="1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</row>
    <row r="816" spans="1:42" ht="14.5" x14ac:dyDescent="0.35">
      <c r="A816" s="1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</row>
    <row r="817" spans="1:42" ht="14.5" x14ac:dyDescent="0.35">
      <c r="A817" s="1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</row>
    <row r="818" spans="1:42" ht="14.5" x14ac:dyDescent="0.35">
      <c r="A818" s="1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</row>
    <row r="819" spans="1:42" ht="14.5" x14ac:dyDescent="0.35">
      <c r="A819" s="1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</row>
    <row r="820" spans="1:42" ht="14.5" x14ac:dyDescent="0.35">
      <c r="A820" s="1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</row>
    <row r="821" spans="1:42" ht="14.5" x14ac:dyDescent="0.35">
      <c r="A821" s="1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</row>
    <row r="822" spans="1:42" ht="14.5" x14ac:dyDescent="0.35">
      <c r="A822" s="1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</row>
    <row r="823" spans="1:42" ht="14.5" x14ac:dyDescent="0.35">
      <c r="A823" s="1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</row>
    <row r="824" spans="1:42" ht="14.5" x14ac:dyDescent="0.35">
      <c r="A824" s="1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</row>
    <row r="825" spans="1:42" ht="14.5" x14ac:dyDescent="0.35">
      <c r="A825" s="1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</row>
    <row r="826" spans="1:42" ht="14.5" x14ac:dyDescent="0.35">
      <c r="A826" s="1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</row>
    <row r="827" spans="1:42" ht="14.5" x14ac:dyDescent="0.35">
      <c r="A827" s="1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</row>
    <row r="828" spans="1:42" ht="14.5" x14ac:dyDescent="0.35">
      <c r="A828" s="1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</row>
    <row r="829" spans="1:42" ht="14.5" x14ac:dyDescent="0.35">
      <c r="A829" s="1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</row>
    <row r="830" spans="1:42" ht="14.5" x14ac:dyDescent="0.35">
      <c r="A830" s="1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</row>
    <row r="831" spans="1:42" ht="14.5" x14ac:dyDescent="0.35">
      <c r="A831" s="1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</row>
    <row r="832" spans="1:42" ht="14.5" x14ac:dyDescent="0.35">
      <c r="A832" s="1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</row>
    <row r="833" spans="1:42" ht="14.5" x14ac:dyDescent="0.35">
      <c r="A833" s="1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</row>
    <row r="834" spans="1:42" ht="14.5" x14ac:dyDescent="0.35">
      <c r="A834" s="1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</row>
    <row r="835" spans="1:42" ht="14.5" x14ac:dyDescent="0.35">
      <c r="A835" s="1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</row>
    <row r="836" spans="1:42" ht="14.5" x14ac:dyDescent="0.35">
      <c r="A836" s="1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</row>
    <row r="837" spans="1:42" ht="14.5" x14ac:dyDescent="0.35">
      <c r="A837" s="1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</row>
    <row r="838" spans="1:42" ht="14.5" x14ac:dyDescent="0.35">
      <c r="A838" s="1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</row>
    <row r="839" spans="1:42" ht="14.5" x14ac:dyDescent="0.35">
      <c r="A839" s="1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</row>
    <row r="840" spans="1:42" ht="14.5" x14ac:dyDescent="0.35">
      <c r="A840" s="1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</row>
    <row r="841" spans="1:42" ht="14.5" x14ac:dyDescent="0.35">
      <c r="A841" s="1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</row>
    <row r="842" spans="1:42" ht="14.5" x14ac:dyDescent="0.35">
      <c r="A842" s="1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</row>
    <row r="843" spans="1:42" ht="14.5" x14ac:dyDescent="0.35">
      <c r="A843" s="1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</row>
    <row r="844" spans="1:42" ht="14.5" x14ac:dyDescent="0.35">
      <c r="A844" s="1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</row>
    <row r="845" spans="1:42" ht="14.5" x14ac:dyDescent="0.35">
      <c r="A845" s="1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</row>
    <row r="846" spans="1:42" ht="14.5" x14ac:dyDescent="0.35">
      <c r="A846" s="1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</row>
    <row r="847" spans="1:42" ht="14.5" x14ac:dyDescent="0.35">
      <c r="A847" s="1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</row>
    <row r="848" spans="1:42" ht="14.5" x14ac:dyDescent="0.35">
      <c r="A848" s="1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</row>
    <row r="849" spans="1:42" ht="14.5" x14ac:dyDescent="0.35">
      <c r="A849" s="1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</row>
    <row r="850" spans="1:42" ht="14.5" x14ac:dyDescent="0.35">
      <c r="A850" s="1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</row>
    <row r="851" spans="1:42" ht="14.5" x14ac:dyDescent="0.35">
      <c r="A851" s="1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</row>
    <row r="852" spans="1:42" ht="14.5" x14ac:dyDescent="0.35">
      <c r="A852" s="1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</row>
    <row r="853" spans="1:42" ht="14.5" x14ac:dyDescent="0.35">
      <c r="A853" s="1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</row>
    <row r="854" spans="1:42" ht="14.5" x14ac:dyDescent="0.35">
      <c r="A854" s="1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</row>
    <row r="855" spans="1:42" ht="14.5" x14ac:dyDescent="0.35">
      <c r="A855" s="1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</row>
    <row r="856" spans="1:42" ht="14.5" x14ac:dyDescent="0.35">
      <c r="A856" s="1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</row>
    <row r="857" spans="1:42" ht="14.5" x14ac:dyDescent="0.35">
      <c r="A857" s="1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</row>
    <row r="858" spans="1:42" ht="14.5" x14ac:dyDescent="0.35">
      <c r="A858" s="1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</row>
    <row r="859" spans="1:42" ht="14.5" x14ac:dyDescent="0.35">
      <c r="A859" s="1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</row>
    <row r="860" spans="1:42" ht="14.5" x14ac:dyDescent="0.35">
      <c r="A860" s="1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</row>
    <row r="861" spans="1:42" ht="14.5" x14ac:dyDescent="0.35">
      <c r="A861" s="1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</row>
    <row r="862" spans="1:42" ht="14.5" x14ac:dyDescent="0.35">
      <c r="A862" s="1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</row>
    <row r="863" spans="1:42" ht="14.5" x14ac:dyDescent="0.35">
      <c r="A863" s="1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</row>
    <row r="864" spans="1:42" ht="14.5" x14ac:dyDescent="0.35">
      <c r="A864" s="1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</row>
    <row r="865" spans="1:42" ht="14.5" x14ac:dyDescent="0.35">
      <c r="A865" s="1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</row>
    <row r="866" spans="1:42" ht="14.5" x14ac:dyDescent="0.35">
      <c r="A866" s="1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</row>
    <row r="867" spans="1:42" ht="14.5" x14ac:dyDescent="0.35">
      <c r="A867" s="1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</row>
    <row r="868" spans="1:42" ht="14.5" x14ac:dyDescent="0.35">
      <c r="A868" s="1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</row>
    <row r="869" spans="1:42" ht="14.5" x14ac:dyDescent="0.35">
      <c r="A869" s="1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</row>
    <row r="870" spans="1:42" ht="14.5" x14ac:dyDescent="0.35">
      <c r="A870" s="1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</row>
    <row r="871" spans="1:42" ht="14.5" x14ac:dyDescent="0.35">
      <c r="A871" s="1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</row>
    <row r="872" spans="1:42" ht="14.5" x14ac:dyDescent="0.35">
      <c r="A872" s="1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</row>
    <row r="873" spans="1:42" ht="14.5" x14ac:dyDescent="0.35">
      <c r="A873" s="1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</row>
    <row r="874" spans="1:42" ht="14.5" x14ac:dyDescent="0.35">
      <c r="A874" s="1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</row>
    <row r="875" spans="1:42" ht="14.5" x14ac:dyDescent="0.35">
      <c r="A875" s="1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</row>
    <row r="876" spans="1:42" ht="14.5" x14ac:dyDescent="0.35">
      <c r="A876" s="1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</row>
    <row r="877" spans="1:42" ht="14.5" x14ac:dyDescent="0.35">
      <c r="A877" s="1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</row>
    <row r="878" spans="1:42" ht="14.5" x14ac:dyDescent="0.35">
      <c r="A878" s="1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</row>
    <row r="879" spans="1:42" ht="14.5" x14ac:dyDescent="0.35">
      <c r="A879" s="1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</row>
    <row r="880" spans="1:42" ht="14.5" x14ac:dyDescent="0.35">
      <c r="A880" s="1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</row>
    <row r="881" spans="1:42" ht="14.5" x14ac:dyDescent="0.35">
      <c r="A881" s="1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</row>
    <row r="882" spans="1:42" ht="14.5" x14ac:dyDescent="0.35">
      <c r="A882" s="1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</row>
    <row r="883" spans="1:42" ht="14.5" x14ac:dyDescent="0.35">
      <c r="A883" s="1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</row>
    <row r="884" spans="1:42" ht="14.5" x14ac:dyDescent="0.35">
      <c r="A884" s="1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</row>
    <row r="885" spans="1:42" ht="14.5" x14ac:dyDescent="0.35">
      <c r="A885" s="1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</row>
    <row r="886" spans="1:42" ht="14.5" x14ac:dyDescent="0.35">
      <c r="A886" s="1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</row>
    <row r="887" spans="1:42" ht="14.5" x14ac:dyDescent="0.35">
      <c r="A887" s="1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</row>
    <row r="888" spans="1:42" ht="14.5" x14ac:dyDescent="0.35">
      <c r="A888" s="1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</row>
    <row r="889" spans="1:42" ht="14.5" x14ac:dyDescent="0.35">
      <c r="A889" s="1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</row>
    <row r="890" spans="1:42" ht="14.5" x14ac:dyDescent="0.35">
      <c r="A890" s="1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</row>
    <row r="891" spans="1:42" ht="14.5" x14ac:dyDescent="0.35">
      <c r="A891" s="1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</row>
    <row r="892" spans="1:42" ht="14.5" x14ac:dyDescent="0.35">
      <c r="A892" s="1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</row>
    <row r="893" spans="1:42" ht="14.5" x14ac:dyDescent="0.35">
      <c r="A893" s="1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</row>
    <row r="894" spans="1:42" ht="14.5" x14ac:dyDescent="0.35">
      <c r="A894" s="1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</row>
    <row r="895" spans="1:42" ht="14.5" x14ac:dyDescent="0.35">
      <c r="A895" s="1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</row>
    <row r="896" spans="1:42" ht="14.5" x14ac:dyDescent="0.35">
      <c r="A896" s="1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</row>
    <row r="897" spans="1:42" ht="14.5" x14ac:dyDescent="0.35">
      <c r="A897" s="1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</row>
    <row r="898" spans="1:42" ht="14.5" x14ac:dyDescent="0.35">
      <c r="A898" s="1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</row>
    <row r="899" spans="1:42" ht="14.5" x14ac:dyDescent="0.35">
      <c r="A899" s="1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</row>
    <row r="900" spans="1:42" ht="14.5" x14ac:dyDescent="0.35">
      <c r="A900" s="1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</row>
    <row r="901" spans="1:42" ht="14.5" x14ac:dyDescent="0.35">
      <c r="A901" s="1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</row>
    <row r="902" spans="1:42" ht="14.5" x14ac:dyDescent="0.35">
      <c r="A902" s="1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</row>
    <row r="903" spans="1:42" ht="14.5" x14ac:dyDescent="0.35">
      <c r="A903" s="1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</row>
    <row r="904" spans="1:42" ht="14.5" x14ac:dyDescent="0.35">
      <c r="A904" s="1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</row>
    <row r="905" spans="1:42" ht="14.5" x14ac:dyDescent="0.35">
      <c r="A905" s="1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</row>
    <row r="906" spans="1:42" ht="14.5" x14ac:dyDescent="0.35">
      <c r="A906" s="1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</row>
    <row r="907" spans="1:42" ht="14.5" x14ac:dyDescent="0.35">
      <c r="A907" s="1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</row>
    <row r="908" spans="1:42" ht="14.5" x14ac:dyDescent="0.35">
      <c r="A908" s="1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</row>
    <row r="909" spans="1:42" ht="14.5" x14ac:dyDescent="0.35">
      <c r="A909" s="1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</row>
    <row r="910" spans="1:42" ht="14.5" x14ac:dyDescent="0.35">
      <c r="A910" s="1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</row>
    <row r="911" spans="1:42" ht="14.5" x14ac:dyDescent="0.35">
      <c r="A911" s="1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</row>
    <row r="912" spans="1:42" ht="14.5" x14ac:dyDescent="0.35">
      <c r="A912" s="1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</row>
    <row r="913" spans="1:42" ht="14.5" x14ac:dyDescent="0.35">
      <c r="A913" s="1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</row>
    <row r="914" spans="1:42" ht="14.5" x14ac:dyDescent="0.35">
      <c r="A914" s="1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</row>
    <row r="915" spans="1:42" ht="14.5" x14ac:dyDescent="0.35">
      <c r="A915" s="1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</row>
    <row r="916" spans="1:42" ht="14.5" x14ac:dyDescent="0.35">
      <c r="A916" s="1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</row>
    <row r="917" spans="1:42" ht="14.5" x14ac:dyDescent="0.35">
      <c r="A917" s="1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</row>
    <row r="918" spans="1:42" ht="14.5" x14ac:dyDescent="0.35">
      <c r="A918" s="1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</row>
    <row r="919" spans="1:42" ht="14.5" x14ac:dyDescent="0.35">
      <c r="A919" s="1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</row>
    <row r="920" spans="1:42" ht="14.5" x14ac:dyDescent="0.35">
      <c r="A920" s="1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</row>
    <row r="921" spans="1:42" ht="14.5" x14ac:dyDescent="0.35">
      <c r="A921" s="1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</row>
    <row r="922" spans="1:42" ht="14.5" x14ac:dyDescent="0.35">
      <c r="A922" s="1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</row>
    <row r="923" spans="1:42" ht="14.5" x14ac:dyDescent="0.35">
      <c r="A923" s="1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</row>
    <row r="924" spans="1:42" ht="14.5" x14ac:dyDescent="0.35">
      <c r="A924" s="1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</row>
    <row r="925" spans="1:42" ht="14.5" x14ac:dyDescent="0.35">
      <c r="A925" s="1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</row>
    <row r="926" spans="1:42" ht="14.5" x14ac:dyDescent="0.35">
      <c r="A926" s="1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</row>
    <row r="927" spans="1:42" ht="14.5" x14ac:dyDescent="0.35">
      <c r="A927" s="1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</row>
    <row r="928" spans="1:42" ht="14.5" x14ac:dyDescent="0.35">
      <c r="A928" s="1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</row>
    <row r="929" spans="1:42" ht="14.5" x14ac:dyDescent="0.35">
      <c r="A929" s="1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</row>
    <row r="930" spans="1:42" ht="14.5" x14ac:dyDescent="0.35">
      <c r="A930" s="1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</row>
    <row r="931" spans="1:42" ht="14.5" x14ac:dyDescent="0.35">
      <c r="A931" s="1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</row>
    <row r="932" spans="1:42" ht="14.5" x14ac:dyDescent="0.35">
      <c r="A932" s="1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</row>
    <row r="933" spans="1:42" ht="14.5" x14ac:dyDescent="0.35">
      <c r="A933" s="1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</row>
    <row r="934" spans="1:42" ht="14.5" x14ac:dyDescent="0.35">
      <c r="A934" s="1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</row>
    <row r="935" spans="1:42" ht="14.5" x14ac:dyDescent="0.35">
      <c r="A935" s="1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</row>
    <row r="936" spans="1:42" ht="14.5" x14ac:dyDescent="0.35">
      <c r="A936" s="1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</row>
    <row r="937" spans="1:42" ht="14.5" x14ac:dyDescent="0.35">
      <c r="A937" s="1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</row>
    <row r="938" spans="1:42" ht="14.5" x14ac:dyDescent="0.35">
      <c r="A938" s="1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</row>
    <row r="939" spans="1:42" ht="14.5" x14ac:dyDescent="0.35">
      <c r="A939" s="1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</row>
    <row r="940" spans="1:42" ht="14.5" x14ac:dyDescent="0.35">
      <c r="A940" s="1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</row>
    <row r="941" spans="1:42" ht="14.5" x14ac:dyDescent="0.35">
      <c r="A941" s="1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</row>
    <row r="942" spans="1:42" ht="14.5" x14ac:dyDescent="0.35">
      <c r="A942" s="1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</row>
    <row r="943" spans="1:42" ht="14.5" x14ac:dyDescent="0.35">
      <c r="A943" s="1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</row>
    <row r="944" spans="1:42" ht="14.5" x14ac:dyDescent="0.35">
      <c r="A944" s="1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</row>
    <row r="945" spans="1:42" ht="14.5" x14ac:dyDescent="0.35">
      <c r="A945" s="1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</row>
    <row r="946" spans="1:42" ht="14.5" x14ac:dyDescent="0.35">
      <c r="A946" s="1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</row>
    <row r="947" spans="1:42" ht="14.5" x14ac:dyDescent="0.35">
      <c r="A947" s="1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</row>
    <row r="948" spans="1:42" ht="14.5" x14ac:dyDescent="0.35">
      <c r="A948" s="1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</row>
    <row r="949" spans="1:42" ht="14.5" x14ac:dyDescent="0.35">
      <c r="A949" s="1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</row>
    <row r="950" spans="1:42" ht="14.5" x14ac:dyDescent="0.35">
      <c r="A950" s="1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</row>
    <row r="951" spans="1:42" ht="14.5" x14ac:dyDescent="0.35">
      <c r="A951" s="1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</row>
    <row r="952" spans="1:42" ht="14.5" x14ac:dyDescent="0.35">
      <c r="A952" s="1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</row>
    <row r="953" spans="1:42" ht="14.5" x14ac:dyDescent="0.35">
      <c r="A953" s="1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</row>
    <row r="954" spans="1:42" ht="14.5" x14ac:dyDescent="0.35">
      <c r="A954" s="1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</row>
    <row r="955" spans="1:42" ht="14.5" x14ac:dyDescent="0.35">
      <c r="A955" s="1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</row>
    <row r="956" spans="1:42" ht="14.5" x14ac:dyDescent="0.35">
      <c r="A956" s="1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</row>
  </sheetData>
  <autoFilter ref="A7:AP40" xr:uid="{00000000-0009-0000-0000-000004000000}"/>
  <mergeCells count="16">
    <mergeCell ref="A5:A6"/>
    <mergeCell ref="AG5:AG6"/>
    <mergeCell ref="AO5:AO6"/>
    <mergeCell ref="AP5:AP6"/>
    <mergeCell ref="AH5:AH6"/>
    <mergeCell ref="AI5:AI6"/>
    <mergeCell ref="AJ5:AJ6"/>
    <mergeCell ref="AK5:AK6"/>
    <mergeCell ref="AL5:AL6"/>
    <mergeCell ref="AM5:AM6"/>
    <mergeCell ref="AN5:AN6"/>
    <mergeCell ref="B1:H1"/>
    <mergeCell ref="I1:J1"/>
    <mergeCell ref="K1:L1"/>
    <mergeCell ref="B2:C2"/>
    <mergeCell ref="F2:G2"/>
  </mergeCells>
  <conditionalFormatting sqref="B7:AF40">
    <cfRule type="containsBlanks" dxfId="0" priority="1">
      <formula>LEN(TRIM(B7))=0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Helper</vt:lpstr>
      <vt:lpstr>Current Month</vt:lpstr>
      <vt:lpstr>June 2026</vt:lpstr>
      <vt:lpstr>May 2026</vt:lpstr>
      <vt:lpstr>Apr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Namrata Pandhi</cp:lastModifiedBy>
  <dcterms:modified xsi:type="dcterms:W3CDTF">2026-07-22T12:56:54Z</dcterms:modified>
</cp:coreProperties>
</file>